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FE557D8E8372725/Documents/"/>
    </mc:Choice>
  </mc:AlternateContent>
  <xr:revisionPtr revIDLastSave="1862" documentId="8_{8D8F4367-1953-4C8D-8924-8A70B60F5E10}" xr6:coauthVersionLast="47" xr6:coauthVersionMax="47" xr10:uidLastSave="{A3E748FB-7063-49C0-A2DC-5FB3111A35CB}"/>
  <bookViews>
    <workbookView xWindow="-108" yWindow="-108" windowWidth="23256" windowHeight="12456" firstSheet="2" activeTab="3" xr2:uid="{F459243D-2A29-4FC6-8B56-458CADFE197D}"/>
  </bookViews>
  <sheets>
    <sheet name="Vrinda store 2026" sheetId="2" r:id="rId1"/>
    <sheet name="Sheet2" sheetId="13" r:id="rId2"/>
    <sheet name="Sheet1" sheetId="1" r:id="rId3"/>
    <sheet name="Order vs Sales" sheetId="4" r:id="rId4"/>
    <sheet name="Men vs Women" sheetId="7" r:id="rId5"/>
    <sheet name="Order status" sheetId="8" r:id="rId6"/>
    <sheet name="States" sheetId="9" r:id="rId7"/>
    <sheet name="Age n Gender" sheetId="10" r:id="rId8"/>
    <sheet name="Channels" sheetId="12" r:id="rId9"/>
  </sheets>
  <definedNames>
    <definedName name="_xlnm._FilterDatabase" localSheetId="2" hidden="1">Sheet1!$A$1:$O$51</definedName>
    <definedName name="Slicer_Category">#N/A</definedName>
    <definedName name="Slicer_Channel">#N/A</definedName>
    <definedName name="Slicer_Month">#N/A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5" i="2" l="1"/>
  <c r="AD17" i="2" s="1"/>
  <c r="AD13" i="2"/>
  <c r="AD9" i="2"/>
  <c r="H3" i="1"/>
  <c r="H5" i="1"/>
  <c r="H7" i="1"/>
  <c r="H9" i="1"/>
  <c r="H11" i="1"/>
  <c r="H12" i="1"/>
  <c r="H13" i="1"/>
  <c r="H14" i="1"/>
  <c r="H16" i="1"/>
  <c r="H17" i="1"/>
  <c r="H18" i="1"/>
  <c r="H19" i="1"/>
  <c r="H20" i="1"/>
  <c r="H21" i="1"/>
  <c r="H22" i="1"/>
  <c r="H23" i="1"/>
  <c r="H24" i="1"/>
  <c r="H25" i="1"/>
  <c r="H26" i="1"/>
  <c r="H27" i="1"/>
  <c r="H28" i="1"/>
  <c r="H29" i="1"/>
  <c r="H30" i="1"/>
  <c r="H31" i="1"/>
  <c r="H32" i="1"/>
  <c r="H33" i="1"/>
  <c r="H34" i="1"/>
  <c r="H35" i="1"/>
  <c r="H36" i="1"/>
  <c r="H37" i="1"/>
  <c r="H38" i="1"/>
  <c r="H39" i="1"/>
  <c r="H40" i="1"/>
  <c r="H2" i="1"/>
  <c r="H4" i="1"/>
  <c r="H6" i="1"/>
  <c r="H8" i="1"/>
  <c r="H10" i="1"/>
  <c r="H15" i="1"/>
  <c r="H46"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 r="H41" i="1"/>
  <c r="H42" i="1"/>
  <c r="H43" i="1"/>
  <c r="H44" i="1"/>
  <c r="H45" i="1"/>
  <c r="H47" i="1"/>
  <c r="H48" i="1"/>
  <c r="H49" i="1"/>
  <c r="H50" i="1"/>
  <c r="H51" i="1"/>
</calcChain>
</file>

<file path=xl/sharedStrings.xml><?xml version="1.0" encoding="utf-8"?>
<sst xmlns="http://schemas.openxmlformats.org/spreadsheetml/2006/main" count="418" uniqueCount="132">
  <si>
    <t>Index</t>
  </si>
  <si>
    <t>Order ID</t>
  </si>
  <si>
    <t>Cust. ID</t>
  </si>
  <si>
    <t>Gender</t>
  </si>
  <si>
    <t>Age</t>
  </si>
  <si>
    <t>Age Group</t>
  </si>
  <si>
    <t>Date</t>
  </si>
  <si>
    <t>Month</t>
  </si>
  <si>
    <t>Status</t>
  </si>
  <si>
    <t>Channel</t>
  </si>
  <si>
    <t>Category</t>
  </si>
  <si>
    <t>Size</t>
  </si>
  <si>
    <t>Qty</t>
  </si>
  <si>
    <t>Amount</t>
  </si>
  <si>
    <t>Shipping State</t>
  </si>
  <si>
    <t>101-01</t>
  </si>
  <si>
    <t>Women</t>
  </si>
  <si>
    <t>Delivered</t>
  </si>
  <si>
    <t>Myntra</t>
  </si>
  <si>
    <t>Kurta</t>
  </si>
  <si>
    <t>XXL</t>
  </si>
  <si>
    <t>UTTAR PRADESH</t>
  </si>
  <si>
    <t>102-02</t>
  </si>
  <si>
    <t>Ordered</t>
  </si>
  <si>
    <t>Ajio</t>
  </si>
  <si>
    <t>Set</t>
  </si>
  <si>
    <t>L</t>
  </si>
  <si>
    <t>WEST BENGAL</t>
  </si>
  <si>
    <t>103-03</t>
  </si>
  <si>
    <t>S</t>
  </si>
  <si>
    <t>ASSAM</t>
  </si>
  <si>
    <t>104-04</t>
  </si>
  <si>
    <t>Amazon</t>
  </si>
  <si>
    <t>M</t>
  </si>
  <si>
    <t>MADHYA PRADESH</t>
  </si>
  <si>
    <t>105-05</t>
  </si>
  <si>
    <t>RAJASTHAN</t>
  </si>
  <si>
    <t>106-06</t>
  </si>
  <si>
    <t>Men</t>
  </si>
  <si>
    <t>Flipkart</t>
  </si>
  <si>
    <t>Western Dress</t>
  </si>
  <si>
    <t>107-07</t>
  </si>
  <si>
    <t>Cancelled</t>
  </si>
  <si>
    <t>Meesho</t>
  </si>
  <si>
    <t>UTTARAKHAND</t>
  </si>
  <si>
    <t>108-08</t>
  </si>
  <si>
    <t>Others</t>
  </si>
  <si>
    <t>MAHARASHTRA</t>
  </si>
  <si>
    <t>109-09</t>
  </si>
  <si>
    <t>Refunded</t>
  </si>
  <si>
    <t>XL</t>
  </si>
  <si>
    <t>KERALA</t>
  </si>
  <si>
    <t>110-10</t>
  </si>
  <si>
    <t>GUJARAT</t>
  </si>
  <si>
    <t>111-11</t>
  </si>
  <si>
    <t>ODISHA</t>
  </si>
  <si>
    <t>112-12</t>
  </si>
  <si>
    <t>113-13</t>
  </si>
  <si>
    <t>Top</t>
  </si>
  <si>
    <t>KARNATAKA</t>
  </si>
  <si>
    <t>114-14</t>
  </si>
  <si>
    <t>115-15</t>
  </si>
  <si>
    <t>HARYANA</t>
  </si>
  <si>
    <t>116-16</t>
  </si>
  <si>
    <t>Nalli</t>
  </si>
  <si>
    <t>BIHAR</t>
  </si>
  <si>
    <t>117-17</t>
  </si>
  <si>
    <t>Returned</t>
  </si>
  <si>
    <t>118-18</t>
  </si>
  <si>
    <t>XS</t>
  </si>
  <si>
    <t>119-19</t>
  </si>
  <si>
    <t>120-20</t>
  </si>
  <si>
    <t>121-21</t>
  </si>
  <si>
    <t>3XL</t>
  </si>
  <si>
    <t>DELHI</t>
  </si>
  <si>
    <t>122-22</t>
  </si>
  <si>
    <t>ANDHRA PRADESH</t>
  </si>
  <si>
    <t>123-23</t>
  </si>
  <si>
    <t>SIKKIM</t>
  </si>
  <si>
    <t>124-24</t>
  </si>
  <si>
    <t>125-25</t>
  </si>
  <si>
    <t>126-26</t>
  </si>
  <si>
    <t>PUNJAB</t>
  </si>
  <si>
    <t>127-27</t>
  </si>
  <si>
    <t>128-28</t>
  </si>
  <si>
    <t>129-29</t>
  </si>
  <si>
    <t>130-30</t>
  </si>
  <si>
    <t>131-31</t>
  </si>
  <si>
    <t>TAMIL NADU</t>
  </si>
  <si>
    <t>132-32</t>
  </si>
  <si>
    <t>CHATTISGARH</t>
  </si>
  <si>
    <t>133-33</t>
  </si>
  <si>
    <t>JHARKHAND</t>
  </si>
  <si>
    <t>134-34</t>
  </si>
  <si>
    <t>135-35</t>
  </si>
  <si>
    <t>136-36</t>
  </si>
  <si>
    <t>137-37</t>
  </si>
  <si>
    <t>138-38</t>
  </si>
  <si>
    <t>139-39</t>
  </si>
  <si>
    <t>140-40</t>
  </si>
  <si>
    <t>141-41</t>
  </si>
  <si>
    <t>142-42</t>
  </si>
  <si>
    <t>143-43</t>
  </si>
  <si>
    <t>144-44</t>
  </si>
  <si>
    <t>145-45</t>
  </si>
  <si>
    <t>146-46</t>
  </si>
  <si>
    <t>147-47</t>
  </si>
  <si>
    <t>148-48</t>
  </si>
  <si>
    <t>149-49</t>
  </si>
  <si>
    <t>Row Labels</t>
  </si>
  <si>
    <t>Sum of Amount</t>
  </si>
  <si>
    <t>Count of Order ID</t>
  </si>
  <si>
    <t>Sum of Order ID</t>
  </si>
  <si>
    <t>Column Labels</t>
  </si>
  <si>
    <t>Teenager</t>
  </si>
  <si>
    <t>Senior</t>
  </si>
  <si>
    <t>150-50</t>
  </si>
  <si>
    <t>Adult</t>
  </si>
  <si>
    <t>May</t>
  </si>
  <si>
    <t>Jun</t>
  </si>
  <si>
    <t>Aug</t>
  </si>
  <si>
    <t>Jan</t>
  </si>
  <si>
    <t>Feb</t>
  </si>
  <si>
    <t>Mar</t>
  </si>
  <si>
    <t>Apr</t>
  </si>
  <si>
    <t>Jul</t>
  </si>
  <si>
    <t>Grand Total</t>
  </si>
  <si>
    <t>Sum of Qty</t>
  </si>
  <si>
    <t>TOTAL SALES</t>
  </si>
  <si>
    <t>TOTAL ORDERS</t>
  </si>
  <si>
    <t>TOTAL QUANTITY</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</si>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</sst>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8"/>
      <color theme="0"/>
      <name val="Aptos Narrow"/>
      <family val="2"/>
      <scheme val="minor"/>
    </font>
    <font>
      <b/>
      <sz val="18"/>
      <color theme="0"/>
      <name val="Aptos Narrow"/>
      <family val="2"/>
      <scheme val="minor"/>
    </font>
    <font>
      <b/>
      <sz val="18"/>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14" fontId="0" fillId="0" borderId="0" xfId="0" applyNumberFormat="1"/>
    <xf numFmtId="0" fontId="1" fillId="2" borderId="0" xfId="0" applyFont="1" applyFill="1"/>
    <xf numFmtId="0" fontId="1" fillId="3" borderId="0" xfId="0" applyFont="1" applyFill="1"/>
    <xf numFmtId="16" fontId="0" fillId="0" borderId="0" xfId="0" applyNumberFormat="1"/>
    <xf numFmtId="0" fontId="0" fillId="0" borderId="0" xfId="0" pivotButton="1"/>
    <xf numFmtId="0" fontId="0" fillId="0" borderId="0" xfId="0" applyAlignment="1">
      <alignment horizontal="center"/>
    </xf>
    <xf numFmtId="0" fontId="0" fillId="4" borderId="0" xfId="0" applyFill="1"/>
    <xf numFmtId="0" fontId="0" fillId="0" borderId="0" xfId="0" applyAlignment="1">
      <alignment horizontal="left"/>
    </xf>
    <xf numFmtId="10" fontId="0" fillId="0" borderId="0" xfId="0" applyNumberFormat="1"/>
    <xf numFmtId="0" fontId="0" fillId="4" borderId="0" xfId="0" applyFill="1" applyAlignment="1">
      <alignment horizontal="center"/>
    </xf>
    <xf numFmtId="0" fontId="5" fillId="4" borderId="1" xfId="0" applyFont="1" applyFill="1" applyBorder="1" applyAlignment="1">
      <alignment horizontal="center"/>
    </xf>
    <xf numFmtId="0" fontId="5" fillId="4" borderId="1" xfId="0" applyFont="1" applyFill="1" applyBorder="1" applyAlignment="1">
      <alignment horizontal="center" vertical="center"/>
    </xf>
    <xf numFmtId="0" fontId="4" fillId="4" borderId="2" xfId="0" applyFont="1" applyFill="1" applyBorder="1" applyAlignment="1">
      <alignment horizontal="center"/>
    </xf>
    <xf numFmtId="0" fontId="4" fillId="4" borderId="2" xfId="0" applyFont="1" applyFill="1" applyBorder="1" applyAlignment="1">
      <alignment horizontal="center" vertical="center"/>
    </xf>
    <xf numFmtId="0" fontId="3" fillId="4" borderId="0" xfId="0" applyFont="1" applyFill="1" applyAlignment="1">
      <alignment horizontal="center" vertical="center"/>
    </xf>
    <xf numFmtId="0" fontId="2"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Project.xlsx]Order vs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vs Sales</a:t>
            </a:r>
            <a:endParaRPr lang="en-US"/>
          </a:p>
        </c:rich>
      </c:tx>
      <c:layout>
        <c:manualLayout>
          <c:xMode val="edge"/>
          <c:yMode val="edge"/>
          <c:x val="0.145201224846894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46190224245686"/>
          <c:y val="0.17171296296296298"/>
          <c:w val="0.62400315079192181"/>
          <c:h val="0.72125801983085447"/>
        </c:manualLayout>
      </c:layout>
      <c:barChart>
        <c:barDir val="col"/>
        <c:grouping val="clustered"/>
        <c:varyColors val="0"/>
        <c:ser>
          <c:idx val="0"/>
          <c:order val="0"/>
          <c:tx>
            <c:strRef>
              <c:f>'Order vs Sales'!$B$3</c:f>
              <c:strCache>
                <c:ptCount val="1"/>
                <c:pt idx="0">
                  <c:v>Sum of Amount</c:v>
                </c:pt>
              </c:strCache>
            </c:strRef>
          </c:tx>
          <c:spPr>
            <a:solidFill>
              <a:schemeClr val="accent1"/>
            </a:solidFill>
            <a:ln>
              <a:noFill/>
            </a:ln>
            <a:effectLst/>
          </c:spPr>
          <c:invertIfNegative val="0"/>
          <c:cat>
            <c:strRef>
              <c:f>'Order vs Sales'!$A$4:$A$12</c:f>
              <c:strCache>
                <c:ptCount val="8"/>
                <c:pt idx="0">
                  <c:v>Jan</c:v>
                </c:pt>
                <c:pt idx="1">
                  <c:v>Feb</c:v>
                </c:pt>
                <c:pt idx="2">
                  <c:v>Mar</c:v>
                </c:pt>
                <c:pt idx="3">
                  <c:v>Apr</c:v>
                </c:pt>
                <c:pt idx="4">
                  <c:v>May</c:v>
                </c:pt>
                <c:pt idx="5">
                  <c:v>Jun</c:v>
                </c:pt>
                <c:pt idx="6">
                  <c:v>Jul</c:v>
                </c:pt>
                <c:pt idx="7">
                  <c:v>Aug</c:v>
                </c:pt>
              </c:strCache>
            </c:strRef>
          </c:cat>
          <c:val>
            <c:numRef>
              <c:f>'Order vs Sales'!$B$4:$B$12</c:f>
              <c:numCache>
                <c:formatCode>General</c:formatCode>
                <c:ptCount val="8"/>
                <c:pt idx="0">
                  <c:v>10769</c:v>
                </c:pt>
                <c:pt idx="1">
                  <c:v>15148</c:v>
                </c:pt>
                <c:pt idx="2">
                  <c:v>12447</c:v>
                </c:pt>
                <c:pt idx="3">
                  <c:v>5745</c:v>
                </c:pt>
                <c:pt idx="4">
                  <c:v>11301</c:v>
                </c:pt>
                <c:pt idx="5">
                  <c:v>16762</c:v>
                </c:pt>
                <c:pt idx="6">
                  <c:v>8628</c:v>
                </c:pt>
                <c:pt idx="7">
                  <c:v>4879</c:v>
                </c:pt>
              </c:numCache>
            </c:numRef>
          </c:val>
          <c:extLst>
            <c:ext xmlns:c16="http://schemas.microsoft.com/office/drawing/2014/chart" uri="{C3380CC4-5D6E-409C-BE32-E72D297353CC}">
              <c16:uniqueId val="{00000003-3FE3-4325-BE62-A40E804986FC}"/>
            </c:ext>
          </c:extLst>
        </c:ser>
        <c:ser>
          <c:idx val="1"/>
          <c:order val="1"/>
          <c:tx>
            <c:strRef>
              <c:f>'Order vs Sales'!$C$3</c:f>
              <c:strCache>
                <c:ptCount val="1"/>
                <c:pt idx="0">
                  <c:v>Count of Order ID</c:v>
                </c:pt>
              </c:strCache>
            </c:strRef>
          </c:tx>
          <c:spPr>
            <a:solidFill>
              <a:schemeClr val="accent2"/>
            </a:solidFill>
            <a:ln>
              <a:noFill/>
            </a:ln>
            <a:effectLst/>
          </c:spPr>
          <c:invertIfNegative val="0"/>
          <c:cat>
            <c:strRef>
              <c:f>'Order vs Sales'!$A$4:$A$12</c:f>
              <c:strCache>
                <c:ptCount val="8"/>
                <c:pt idx="0">
                  <c:v>Jan</c:v>
                </c:pt>
                <c:pt idx="1">
                  <c:v>Feb</c:v>
                </c:pt>
                <c:pt idx="2">
                  <c:v>Mar</c:v>
                </c:pt>
                <c:pt idx="3">
                  <c:v>Apr</c:v>
                </c:pt>
                <c:pt idx="4">
                  <c:v>May</c:v>
                </c:pt>
                <c:pt idx="5">
                  <c:v>Jun</c:v>
                </c:pt>
                <c:pt idx="6">
                  <c:v>Jul</c:v>
                </c:pt>
                <c:pt idx="7">
                  <c:v>Aug</c:v>
                </c:pt>
              </c:strCache>
            </c:strRef>
          </c:cat>
          <c:val>
            <c:numRef>
              <c:f>'Order vs Sales'!$C$4:$C$12</c:f>
              <c:numCache>
                <c:formatCode>General</c:formatCode>
                <c:ptCount val="8"/>
                <c:pt idx="0">
                  <c:v>7</c:v>
                </c:pt>
                <c:pt idx="1">
                  <c:v>8</c:v>
                </c:pt>
                <c:pt idx="2">
                  <c:v>8</c:v>
                </c:pt>
                <c:pt idx="3">
                  <c:v>6</c:v>
                </c:pt>
                <c:pt idx="4">
                  <c:v>5</c:v>
                </c:pt>
                <c:pt idx="5">
                  <c:v>7</c:v>
                </c:pt>
                <c:pt idx="6">
                  <c:v>5</c:v>
                </c:pt>
                <c:pt idx="7">
                  <c:v>4</c:v>
                </c:pt>
              </c:numCache>
            </c:numRef>
          </c:val>
          <c:extLst>
            <c:ext xmlns:c16="http://schemas.microsoft.com/office/drawing/2014/chart" uri="{C3380CC4-5D6E-409C-BE32-E72D297353CC}">
              <c16:uniqueId val="{00000004-3FE3-4325-BE62-A40E804986FC}"/>
            </c:ext>
          </c:extLst>
        </c:ser>
        <c:dLbls>
          <c:showLegendKey val="0"/>
          <c:showVal val="0"/>
          <c:showCatName val="0"/>
          <c:showSerName val="0"/>
          <c:showPercent val="0"/>
          <c:showBubbleSize val="0"/>
        </c:dLbls>
        <c:gapWidth val="219"/>
        <c:overlap val="-27"/>
        <c:axId val="2011359775"/>
        <c:axId val="2004941327"/>
      </c:barChart>
      <c:catAx>
        <c:axId val="201135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41327"/>
        <c:crosses val="autoZero"/>
        <c:auto val="1"/>
        <c:lblAlgn val="ctr"/>
        <c:lblOffset val="100"/>
        <c:noMultiLvlLbl val="0"/>
      </c:catAx>
      <c:valAx>
        <c:axId val="200494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59775"/>
        <c:crosses val="autoZero"/>
        <c:crossBetween val="between"/>
      </c:valAx>
      <c:spPr>
        <a:noFill/>
        <a:ln>
          <a:noFill/>
        </a:ln>
        <a:effectLst/>
      </c:spPr>
    </c:plotArea>
    <c:legend>
      <c:legendPos val="r"/>
      <c:layout>
        <c:manualLayout>
          <c:xMode val="edge"/>
          <c:yMode val="edge"/>
          <c:x val="0.47812174416933068"/>
          <c:y val="1.4675196850393698E-2"/>
          <c:w val="0.22471387250575256"/>
          <c:h val="0.13385050506059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Project.xlsx]Men vs Women!PivotTable5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Men</a:t>
            </a:r>
            <a:r>
              <a:rPr lang="en-US" baseline="0"/>
              <a:t> vs Women</a:t>
            </a:r>
            <a:endParaRPr lang="en-US"/>
          </a:p>
        </c:rich>
      </c:tx>
      <c:layout>
        <c:manualLayout>
          <c:xMode val="edge"/>
          <c:yMode val="edge"/>
          <c:x val="5.33748906386701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65"/>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4166666666666666"/>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555555555555565"/>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166666666666666"/>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251192707813399"/>
              <c:y val="7.092322070266185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7297097939459372"/>
              <c:y val="-0.118505827457616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pivotFmt>
    </c:pivotFmts>
    <c:plotArea>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6-4628-ACF2-BBBB70AF73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6-4628-ACF2-BBBB70AF736F}"/>
              </c:ext>
            </c:extLst>
          </c:dPt>
          <c:dLbls>
            <c:dLbl>
              <c:idx val="0"/>
              <c:layout>
                <c:manualLayout>
                  <c:x val="-0.15251192707813399"/>
                  <c:y val="7.092322070266185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3D6-4628-ACF2-BBBB70AF736F}"/>
                </c:ext>
              </c:extLst>
            </c:dLbl>
            <c:dLbl>
              <c:idx val="1"/>
              <c:layout>
                <c:manualLayout>
                  <c:x val="0.17297097939459372"/>
                  <c:y val="-0.118505827457616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3D6-4628-ACF2-BBBB70AF73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'Men vs Women'!$A$4:$A$6</c:f>
              <c:strCache>
                <c:ptCount val="2"/>
                <c:pt idx="0">
                  <c:v>Men</c:v>
                </c:pt>
                <c:pt idx="1">
                  <c:v>Women</c:v>
                </c:pt>
              </c:strCache>
            </c:strRef>
          </c:cat>
          <c:val>
            <c:numRef>
              <c:f>'Men vs Women'!$B$4:$B$6</c:f>
              <c:numCache>
                <c:formatCode>General</c:formatCode>
                <c:ptCount val="2"/>
                <c:pt idx="0">
                  <c:v>25168</c:v>
                </c:pt>
                <c:pt idx="1">
                  <c:v>60511</c:v>
                </c:pt>
              </c:numCache>
            </c:numRef>
          </c:val>
          <c:extLst>
            <c:ext xmlns:c16="http://schemas.microsoft.com/office/drawing/2014/chart" uri="{C3380CC4-5D6E-409C-BE32-E72D297353CC}">
              <c16:uniqueId val="{00000006-FCA4-4EDA-A555-358B6EF30E8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Project.xlsx]Order status!PivotTable1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layout>
        <c:manualLayout>
          <c:xMode val="edge"/>
          <c:yMode val="edge"/>
          <c:x val="0.40336919524003756"/>
          <c:y val="6.9550717924965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4.1813379315612652E-2"/>
              <c:y val="0.22397570975337036"/>
            </c:manualLayout>
          </c:layout>
          <c:spPr>
            <a:xfrm>
              <a:off x="2120335" y="1121649"/>
              <a:ext cx="521168" cy="332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8"/>
                    <a:gd name="adj2" fmla="val -108244"/>
                  </a:avLst>
                </a:prstGeom>
                <a:noFill/>
                <a:ln>
                  <a:noFill/>
                </a:ln>
              </c15:spPr>
              <c15:layout>
                <c:manualLayout>
                  <c:w val="0.11439262609532397"/>
                  <c:h val="0.12105706208012509"/>
                </c:manualLayout>
              </c15:layout>
            </c:ext>
          </c:extLst>
        </c:dLbl>
      </c:pivotFmt>
      <c:pivotFmt>
        <c:idx val="2"/>
        <c:spPr>
          <a:solidFill>
            <a:schemeClr val="accent1"/>
          </a:solidFill>
          <a:ln w="19050">
            <a:solidFill>
              <a:schemeClr val="lt1"/>
            </a:solidFill>
          </a:ln>
          <a:effectLst/>
        </c:spPr>
        <c:dLbl>
          <c:idx val="0"/>
          <c:layout>
            <c:manualLayout>
              <c:x val="0.13380281380996051"/>
              <c:y val="-0.14777778787851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380281380996051"/>
              <c:y val="-0.14777778787851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1813379315612652E-2"/>
              <c:y val="0.22397570975337036"/>
            </c:manualLayout>
          </c:layout>
          <c:spPr>
            <a:xfrm>
              <a:off x="2120335" y="1121649"/>
              <a:ext cx="521168" cy="332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8"/>
                    <a:gd name="adj2" fmla="val -108244"/>
                  </a:avLst>
                </a:prstGeom>
                <a:noFill/>
                <a:ln>
                  <a:noFill/>
                </a:ln>
              </c15:spPr>
              <c15:layout>
                <c:manualLayout>
                  <c:w val="0.11439262609532397"/>
                  <c:h val="0.12105706208012509"/>
                </c:manualLayout>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751160533966469"/>
              <c:y val="-0.14777778787851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53632279452473"/>
                  <c:h val="0.13256766429682412"/>
                </c:manualLayout>
              </c15:layout>
            </c:ext>
          </c:extLst>
        </c:dLbl>
      </c:pivotFmt>
      <c:pivotFmt>
        <c:idx val="11"/>
        <c:spPr>
          <a:solidFill>
            <a:schemeClr val="accent1"/>
          </a:solidFill>
          <a:ln w="19050">
            <a:solidFill>
              <a:schemeClr val="lt1"/>
            </a:solidFill>
          </a:ln>
          <a:effectLst/>
        </c:spPr>
        <c:dLbl>
          <c:idx val="0"/>
          <c:layout>
            <c:manualLayout>
              <c:x val="-4.1736170003994981E-2"/>
              <c:y val="0.21644626289230637"/>
            </c:manualLayout>
          </c:layout>
          <c:spPr>
            <a:solidFill>
              <a:schemeClr val="lt1"/>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8"/>
                    <a:gd name="adj2" fmla="val -108244"/>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5A-4FA8-9CE9-85EB097879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5A-4FA8-9CE9-85EB097879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5A-4FA8-9CE9-85EB097879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5A-4FA8-9CE9-85EB097879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5A-4FA8-9CE9-85EB09787909}"/>
              </c:ext>
            </c:extLst>
          </c:dPt>
          <c:dLbls>
            <c:dLbl>
              <c:idx val="0"/>
              <c:layout>
                <c:manualLayout>
                  <c:x val="0.13751160533966469"/>
                  <c:y val="-0.14777778787851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53632279452473"/>
                      <c:h val="0.13256766429682412"/>
                    </c:manualLayout>
                  </c15:layout>
                </c:ext>
                <c:ext xmlns:c16="http://schemas.microsoft.com/office/drawing/2014/chart" uri="{C3380CC4-5D6E-409C-BE32-E72D297353CC}">
                  <c16:uniqueId val="{00000001-5E5A-4FA8-9CE9-85EB09787909}"/>
                </c:ext>
              </c:extLst>
            </c:dLbl>
            <c:dLbl>
              <c:idx val="1"/>
              <c:layout>
                <c:manualLayout>
                  <c:x val="-4.1736170003994981E-2"/>
                  <c:y val="0.21644626289230637"/>
                </c:manualLayout>
              </c:layout>
              <c:spPr>
                <a:solidFill>
                  <a:schemeClr val="lt1"/>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8"/>
                        <a:gd name="adj2" fmla="val -108244"/>
                      </a:avLst>
                    </a:prstGeom>
                    <a:noFill/>
                    <a:ln>
                      <a:noFill/>
                    </a:ln>
                  </c15:spPr>
                </c:ext>
                <c:ext xmlns:c16="http://schemas.microsoft.com/office/drawing/2014/chart" uri="{C3380CC4-5D6E-409C-BE32-E72D297353CC}">
                  <c16:uniqueId val="{00000003-5E5A-4FA8-9CE9-85EB097879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status'!$A$4:$A$8</c:f>
              <c:strCache>
                <c:ptCount val="5"/>
                <c:pt idx="0">
                  <c:v>Delivered</c:v>
                </c:pt>
                <c:pt idx="1">
                  <c:v>Refunded</c:v>
                </c:pt>
                <c:pt idx="2">
                  <c:v>Ordered</c:v>
                </c:pt>
                <c:pt idx="3">
                  <c:v>Cancelled</c:v>
                </c:pt>
                <c:pt idx="4">
                  <c:v>Returned</c:v>
                </c:pt>
              </c:strCache>
            </c:strRef>
          </c:cat>
          <c:val>
            <c:numRef>
              <c:f>'Order status'!$B$4:$B$8</c:f>
              <c:numCache>
                <c:formatCode>General</c:formatCode>
                <c:ptCount val="5"/>
                <c:pt idx="0">
                  <c:v>2757</c:v>
                </c:pt>
                <c:pt idx="1">
                  <c:v>1983</c:v>
                </c:pt>
                <c:pt idx="2">
                  <c:v>377</c:v>
                </c:pt>
                <c:pt idx="3">
                  <c:v>525</c:v>
                </c:pt>
                <c:pt idx="4">
                  <c:v>543</c:v>
                </c:pt>
              </c:numCache>
            </c:numRef>
          </c:val>
          <c:extLst>
            <c:ext xmlns:c16="http://schemas.microsoft.com/office/drawing/2014/chart" uri="{C3380CC4-5D6E-409C-BE32-E72D297353CC}">
              <c16:uniqueId val="{00000008-8927-4710-9A57-9B60D95D4AF4}"/>
            </c:ext>
          </c:extLst>
        </c:ser>
        <c:dLbls>
          <c:showLegendKey val="0"/>
          <c:showVal val="0"/>
          <c:showCatName val="0"/>
          <c:showSerName val="0"/>
          <c:showPercent val="0"/>
          <c:showBubbleSize val="0"/>
          <c:showLeaderLines val="1"/>
        </c:dLbls>
        <c:firstSliceAng val="152"/>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Project.xlsx]States!PivotTable1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Top 5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States!$A$4:$A$8</c:f>
              <c:strCache>
                <c:ptCount val="5"/>
                <c:pt idx="0">
                  <c:v>ODISHA</c:v>
                </c:pt>
                <c:pt idx="1">
                  <c:v>UTTAR PRADESH</c:v>
                </c:pt>
                <c:pt idx="2">
                  <c:v>HARYANA</c:v>
                </c:pt>
                <c:pt idx="3">
                  <c:v>BIHAR</c:v>
                </c:pt>
                <c:pt idx="4">
                  <c:v>UTTARAKHAND</c:v>
                </c:pt>
              </c:strCache>
            </c:strRef>
          </c:cat>
          <c:val>
            <c:numRef>
              <c:f>States!$B$4:$B$8</c:f>
              <c:numCache>
                <c:formatCode>General</c:formatCode>
                <c:ptCount val="5"/>
                <c:pt idx="0">
                  <c:v>8590</c:v>
                </c:pt>
                <c:pt idx="1">
                  <c:v>8342</c:v>
                </c:pt>
                <c:pt idx="2">
                  <c:v>8279</c:v>
                </c:pt>
                <c:pt idx="3">
                  <c:v>7780</c:v>
                </c:pt>
                <c:pt idx="4">
                  <c:v>7630</c:v>
                </c:pt>
              </c:numCache>
            </c:numRef>
          </c:val>
          <c:extLst>
            <c:ext xmlns:c16="http://schemas.microsoft.com/office/drawing/2014/chart" uri="{C3380CC4-5D6E-409C-BE32-E72D297353CC}">
              <c16:uniqueId val="{00000002-BB18-453F-99C2-4AA6EC3EE48A}"/>
            </c:ext>
          </c:extLst>
        </c:ser>
        <c:dLbls>
          <c:dLblPos val="inEnd"/>
          <c:showLegendKey val="0"/>
          <c:showVal val="1"/>
          <c:showCatName val="0"/>
          <c:showSerName val="0"/>
          <c:showPercent val="0"/>
          <c:showBubbleSize val="0"/>
        </c:dLbls>
        <c:gapWidth val="115"/>
        <c:overlap val="-20"/>
        <c:axId val="71569215"/>
        <c:axId val="1962878576"/>
      </c:barChart>
      <c:catAx>
        <c:axId val="71569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2878576"/>
        <c:crosses val="autoZero"/>
        <c:auto val="1"/>
        <c:lblAlgn val="ctr"/>
        <c:lblOffset val="100"/>
        <c:noMultiLvlLbl val="0"/>
      </c:catAx>
      <c:valAx>
        <c:axId val="19628785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6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Project.xlsx]Age n Gender!PivotTable1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Age</a:t>
            </a:r>
            <a:r>
              <a:rPr lang="en-US" baseline="0"/>
              <a:t> vs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7182130584192493E-2"/>
              <c:y val="3.903354293828025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96565377781389E-2"/>
                  <c:h val="5.4586414403117636E-2"/>
                </c:manualLayout>
              </c15:layout>
            </c:ext>
          </c:extLst>
        </c:dLbl>
      </c:pivotFmt>
      <c:pivotFmt>
        <c:idx val="3"/>
        <c:spPr>
          <a:solidFill>
            <a:schemeClr val="accent2"/>
          </a:solidFill>
          <a:ln>
            <a:noFill/>
          </a:ln>
          <a:effectLst/>
          <a:sp3d/>
        </c:spPr>
        <c:dLbl>
          <c:idx val="0"/>
          <c:layout>
            <c:manualLayout>
              <c:x val="3.7227949599083619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3.7227949599083619E-2"/>
              <c:y val="-1.1709601873536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2.5773195876288766E-2"/>
              <c:y val="-7.8064012490241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3.4364261168384883E-2"/>
              <c:y val="-1.56128024980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57731958762887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2.0045819014891181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7182130584192493E-2"/>
              <c:y val="3.903354293828025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96565377781389E-2"/>
                  <c:h val="5.4586414403117636E-2"/>
                </c:manualLayout>
              </c15:layout>
            </c:ext>
          </c:extLst>
        </c:dLbl>
      </c:pivotFmt>
      <c:pivotFmt>
        <c:idx val="11"/>
        <c:spPr>
          <a:solidFill>
            <a:schemeClr val="accent1"/>
          </a:solidFill>
          <a:ln>
            <a:noFill/>
          </a:ln>
          <a:effectLst/>
          <a:sp3d/>
        </c:spPr>
        <c:dLbl>
          <c:idx val="0"/>
          <c:layout>
            <c:manualLayout>
              <c:x val="-2.57731958762887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3.7227949599083619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2.0045819014891181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3.4364261168384883E-2"/>
              <c:y val="-1.56128024980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dLbl>
          <c:idx val="0"/>
          <c:layout>
            <c:manualLayout>
              <c:x val="3.7227949599083619E-2"/>
              <c:y val="-1.1709601873536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2.5773195876288766E-2"/>
              <c:y val="-7.8064012490241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7182130584192493E-2"/>
              <c:y val="3.903354293828025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96565377781389E-2"/>
                  <c:h val="5.4586414403117636E-2"/>
                </c:manualLayout>
              </c15:layout>
            </c:ext>
          </c:extLst>
        </c:dLbl>
      </c:pivotFmt>
      <c:pivotFmt>
        <c:idx val="20"/>
        <c:spPr>
          <a:solidFill>
            <a:schemeClr val="accent1"/>
          </a:solidFill>
          <a:ln>
            <a:noFill/>
          </a:ln>
          <a:effectLst/>
          <a:sp3d/>
        </c:spPr>
        <c:dLbl>
          <c:idx val="0"/>
          <c:layout>
            <c:manualLayout>
              <c:x val="-2.57731958762887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3.7227949599083619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2.0045819014891181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3.4364261168384883E-2"/>
              <c:y val="-1.56128024980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3.7227949599083619E-2"/>
              <c:y val="-1.1709601873536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dLbl>
          <c:idx val="0"/>
          <c:layout>
            <c:manualLayout>
              <c:x val="2.5773195876288766E-2"/>
              <c:y val="-7.8064012490241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1731714785651794"/>
          <c:y val="0.1756440281030445"/>
          <c:w val="0.82785892388451443"/>
          <c:h val="0.69124392237855514"/>
        </c:manualLayout>
      </c:layout>
      <c:bar3DChart>
        <c:barDir val="col"/>
        <c:grouping val="clustered"/>
        <c:varyColors val="0"/>
        <c:ser>
          <c:idx val="0"/>
          <c:order val="0"/>
          <c:tx>
            <c:strRef>
              <c:f>'Age n Gender'!$B$3:$B$4</c:f>
              <c:strCache>
                <c:ptCount val="1"/>
                <c:pt idx="0">
                  <c:v>Men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Teenager</c:v>
                </c:pt>
                <c:pt idx="1">
                  <c:v>Senior</c:v>
                </c:pt>
                <c:pt idx="2">
                  <c:v>Adult</c:v>
                </c:pt>
              </c:strCache>
            </c:strRef>
          </c:cat>
          <c:val>
            <c:numRef>
              <c:f>'Age n Gender'!$B$5:$B$7</c:f>
              <c:numCache>
                <c:formatCode>0.00%</c:formatCode>
                <c:ptCount val="3"/>
                <c:pt idx="0">
                  <c:v>0.1544058205335489</c:v>
                </c:pt>
                <c:pt idx="1">
                  <c:v>5.9337105901374296E-2</c:v>
                </c:pt>
                <c:pt idx="2">
                  <c:v>0.15052546483427648</c:v>
                </c:pt>
              </c:numCache>
            </c:numRef>
          </c:val>
          <c:extLst>
            <c:ext xmlns:c16="http://schemas.microsoft.com/office/drawing/2014/chart" uri="{C3380CC4-5D6E-409C-BE32-E72D297353CC}">
              <c16:uniqueId val="{00000008-0B7E-4FFA-AE76-C76EDF452E39}"/>
            </c:ext>
          </c:extLst>
        </c:ser>
        <c:ser>
          <c:idx val="1"/>
          <c:order val="1"/>
          <c:tx>
            <c:strRef>
              <c:f>'Age n Gender'!$C$3:$C$4</c:f>
              <c:strCache>
                <c:ptCount val="1"/>
                <c:pt idx="0">
                  <c:v>Women</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1-8280-44D4-837E-1337569C789A}"/>
              </c:ext>
            </c:extLst>
          </c:dPt>
          <c:dLbls>
            <c:dLbl>
              <c:idx val="0"/>
              <c:layout>
                <c:manualLayout>
                  <c:x val="2.5773195876288766E-2"/>
                  <c:y val="-7.80640124902412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80-44D4-837E-1337569C78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Teenager</c:v>
                </c:pt>
                <c:pt idx="1">
                  <c:v>Senior</c:v>
                </c:pt>
                <c:pt idx="2">
                  <c:v>Adult</c:v>
                </c:pt>
              </c:strCache>
            </c:strRef>
          </c:cat>
          <c:val>
            <c:numRef>
              <c:f>'Age n Gender'!$C$5:$C$7</c:f>
              <c:numCache>
                <c:formatCode>0.00%</c:formatCode>
                <c:ptCount val="3"/>
                <c:pt idx="0">
                  <c:v>0.2750202101859337</c:v>
                </c:pt>
                <c:pt idx="1">
                  <c:v>0.17574777687954729</c:v>
                </c:pt>
                <c:pt idx="2">
                  <c:v>0.18496362166531932</c:v>
                </c:pt>
              </c:numCache>
            </c:numRef>
          </c:val>
          <c:extLst>
            <c:ext xmlns:c16="http://schemas.microsoft.com/office/drawing/2014/chart" uri="{C3380CC4-5D6E-409C-BE32-E72D297353CC}">
              <c16:uniqueId val="{0000000C-0B7E-4FFA-AE76-C76EDF452E39}"/>
            </c:ext>
          </c:extLst>
        </c:ser>
        <c:dLbls>
          <c:showLegendKey val="0"/>
          <c:showVal val="1"/>
          <c:showCatName val="0"/>
          <c:showSerName val="0"/>
          <c:showPercent val="0"/>
          <c:showBubbleSize val="0"/>
        </c:dLbls>
        <c:gapWidth val="150"/>
        <c:shape val="box"/>
        <c:axId val="1335574064"/>
        <c:axId val="1342814384"/>
        <c:axId val="0"/>
      </c:bar3DChart>
      <c:catAx>
        <c:axId val="133557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14384"/>
        <c:crosses val="autoZero"/>
        <c:auto val="1"/>
        <c:lblAlgn val="ctr"/>
        <c:lblOffset val="100"/>
        <c:noMultiLvlLbl val="0"/>
      </c:catAx>
      <c:valAx>
        <c:axId val="1342814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74064"/>
        <c:crosses val="autoZero"/>
        <c:crossBetween val="between"/>
      </c:valAx>
      <c:spPr>
        <a:noFill/>
        <a:ln>
          <a:noFill/>
        </a:ln>
        <a:effectLst/>
      </c:spPr>
    </c:plotArea>
    <c:legend>
      <c:legendPos val="r"/>
      <c:layout>
        <c:manualLayout>
          <c:xMode val="edge"/>
          <c:yMode val="edge"/>
          <c:x val="0.84443159166959803"/>
          <c:y val="4.1247303103505502E-2"/>
          <c:w val="0.12120201113446855"/>
          <c:h val="0.123821554924965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Project.xlsx]Channels!PivotTable2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8474081364829398E-2"/>
              <c:y val="-1.77267424905220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62489063867017"/>
                  <c:h val="7.8634441528142307E-2"/>
                </c:manualLayout>
              </c15:layout>
            </c:ext>
          </c:extLst>
        </c:dLbl>
      </c:pivotFmt>
      <c:pivotFmt>
        <c:idx val="2"/>
        <c:spPr>
          <a:solidFill>
            <a:schemeClr val="accent2"/>
          </a:solidFill>
          <a:ln w="25400">
            <a:solidFill>
              <a:schemeClr val="lt1"/>
            </a:solidFill>
          </a:ln>
          <a:effectLst/>
          <a:sp3d contourW="25400">
            <a:contourClr>
              <a:schemeClr val="lt1"/>
            </a:contourClr>
          </a:sp3d>
        </c:spPr>
        <c:dLbl>
          <c:idx val="0"/>
          <c:layout>
            <c:manualLayout>
              <c:x val="-2.2198162729658794E-3"/>
              <c:y val="-2.0902230971128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8.0207786526684168E-3"/>
              <c:y val="-3.2389909594634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solidFill>
              <a:schemeClr val="lt1"/>
            </a:solidFill>
          </a:ln>
          <a:effectLst/>
          <a:sp3d contourW="25400">
            <a:contourClr>
              <a:schemeClr val="lt1"/>
            </a:contourClr>
          </a:sp3d>
        </c:spPr>
        <c:dLbl>
          <c:idx val="0"/>
          <c:layout>
            <c:manualLayout>
              <c:x val="-1.5301181102362218E-2"/>
              <c:y val="3.99795858850976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25400">
            <a:solidFill>
              <a:schemeClr val="lt1"/>
            </a:solidFill>
          </a:ln>
          <a:effectLst/>
          <a:sp3d contourW="25400">
            <a:contourClr>
              <a:schemeClr val="lt1"/>
            </a:contourClr>
          </a:sp3d>
        </c:spPr>
        <c:dLbl>
          <c:idx val="0"/>
          <c:layout>
            <c:manualLayout>
              <c:x val="3.4265091863517061E-2"/>
              <c:y val="1.0322980460775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4.8474081364829398E-2"/>
              <c:y val="-1.77267424905220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62489063867017"/>
                  <c:h val="7.8634441528142307E-2"/>
                </c:manualLayout>
              </c15:layout>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2.2198162729658794E-3"/>
              <c:y val="-2.0902230971128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8.0207786526684168E-3"/>
              <c:y val="-3.2389909594634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5301181102362218E-2"/>
              <c:y val="3.99795858850976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3.4265091863517061E-2"/>
              <c:y val="1.0322980460775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4.8474081364829398E-2"/>
              <c:y val="-1.77267424905220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62489063867017"/>
                  <c:h val="7.8634441528142307E-2"/>
                </c:manualLayout>
              </c15:layout>
            </c:ext>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2.2198162729658794E-3"/>
              <c:y val="-2.0902230971128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8.0207786526684168E-3"/>
              <c:y val="-3.2389909594634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5301181102362218E-2"/>
              <c:y val="3.99795858850976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3.4265091863517061E-2"/>
              <c:y val="1.0322980460775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F5-4557-A713-20A339152A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F5-4557-A713-20A339152A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F5-4557-A713-20A339152A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9F5-4557-A713-20A339152A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9F5-4557-A713-20A339152A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9F5-4557-A713-20A339152A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9F5-4557-A713-20A339152A87}"/>
              </c:ext>
            </c:extLst>
          </c:dPt>
          <c:dLbls>
            <c:dLbl>
              <c:idx val="0"/>
              <c:layout>
                <c:manualLayout>
                  <c:x val="-4.8474081364829398E-2"/>
                  <c:y val="-1.77267424905220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62489063867017"/>
                      <c:h val="7.8634441528142307E-2"/>
                    </c:manualLayout>
                  </c15:layout>
                </c:ext>
                <c:ext xmlns:c16="http://schemas.microsoft.com/office/drawing/2014/chart" uri="{C3380CC4-5D6E-409C-BE32-E72D297353CC}">
                  <c16:uniqueId val="{00000001-09F5-4557-A713-20A339152A87}"/>
                </c:ext>
              </c:extLst>
            </c:dLbl>
            <c:dLbl>
              <c:idx val="1"/>
              <c:layout>
                <c:manualLayout>
                  <c:x val="-2.2198162729658794E-3"/>
                  <c:y val="-2.0902230971128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F5-4557-A713-20A339152A87}"/>
                </c:ext>
              </c:extLst>
            </c:dLbl>
            <c:dLbl>
              <c:idx val="2"/>
              <c:layout>
                <c:manualLayout>
                  <c:x val="8.0207786526684168E-3"/>
                  <c:y val="-3.2389909594634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F5-4557-A713-20A339152A87}"/>
                </c:ext>
              </c:extLst>
            </c:dLbl>
            <c:dLbl>
              <c:idx val="3"/>
              <c:layout>
                <c:manualLayout>
                  <c:x val="-1.5301181102362218E-2"/>
                  <c:y val="3.99795858850976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F5-4557-A713-20A339152A87}"/>
                </c:ext>
              </c:extLst>
            </c:dLbl>
            <c:dLbl>
              <c:idx val="4"/>
              <c:layout>
                <c:manualLayout>
                  <c:x val="3.4265091863517061E-2"/>
                  <c:y val="1.0322980460775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9F5-4557-A713-20A339152A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Channels!$A$4:$A$10</c:f>
              <c:strCache>
                <c:ptCount val="7"/>
                <c:pt idx="0">
                  <c:v>Amazon</c:v>
                </c:pt>
                <c:pt idx="1">
                  <c:v>Flipkart</c:v>
                </c:pt>
                <c:pt idx="2">
                  <c:v>Meesho</c:v>
                </c:pt>
                <c:pt idx="3">
                  <c:v>Myntra</c:v>
                </c:pt>
                <c:pt idx="4">
                  <c:v>Nalli</c:v>
                </c:pt>
                <c:pt idx="5">
                  <c:v>Ajio</c:v>
                </c:pt>
                <c:pt idx="6">
                  <c:v>Others</c:v>
                </c:pt>
              </c:strCache>
            </c:strRef>
          </c:cat>
          <c:val>
            <c:numRef>
              <c:f>Channels!$B$4:$B$10</c:f>
              <c:numCache>
                <c:formatCode>0.00%</c:formatCode>
                <c:ptCount val="7"/>
                <c:pt idx="0">
                  <c:v>0.28763136620856911</c:v>
                </c:pt>
                <c:pt idx="1">
                  <c:v>0.17235246564268392</c:v>
                </c:pt>
                <c:pt idx="2">
                  <c:v>0.23702506063055781</c:v>
                </c:pt>
                <c:pt idx="3">
                  <c:v>0.19094583670169765</c:v>
                </c:pt>
                <c:pt idx="4">
                  <c:v>5.9013742926434923E-2</c:v>
                </c:pt>
                <c:pt idx="5">
                  <c:v>1.6491511721907843E-2</c:v>
                </c:pt>
                <c:pt idx="6">
                  <c:v>3.6540016168148746E-2</c:v>
                </c:pt>
              </c:numCache>
            </c:numRef>
          </c:val>
          <c:extLst>
            <c:ext xmlns:c16="http://schemas.microsoft.com/office/drawing/2014/chart" uri="{C3380CC4-5D6E-409C-BE32-E72D297353CC}">
              <c16:uniqueId val="{00000004-0964-463A-AEC3-5D4769972345}"/>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Project.xlsx]Order vs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Vs Sales</a:t>
            </a:r>
            <a:endParaRPr lang="en-US"/>
          </a:p>
        </c:rich>
      </c:tx>
      <c:layout>
        <c:manualLayout>
          <c:xMode val="edge"/>
          <c:yMode val="edge"/>
          <c:x val="0.145201224846894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46190224245686"/>
          <c:y val="0.17171296296296298"/>
          <c:w val="0.62400315079192181"/>
          <c:h val="0.72125801983085447"/>
        </c:manualLayout>
      </c:layout>
      <c:barChart>
        <c:barDir val="col"/>
        <c:grouping val="clustered"/>
        <c:varyColors val="0"/>
        <c:ser>
          <c:idx val="0"/>
          <c:order val="0"/>
          <c:tx>
            <c:strRef>
              <c:f>'Order vs Sales'!$B$3</c:f>
              <c:strCache>
                <c:ptCount val="1"/>
                <c:pt idx="0">
                  <c:v>Sum of Amount</c:v>
                </c:pt>
              </c:strCache>
            </c:strRef>
          </c:tx>
          <c:spPr>
            <a:solidFill>
              <a:schemeClr val="accent1"/>
            </a:solidFill>
            <a:ln>
              <a:noFill/>
            </a:ln>
            <a:effectLst/>
          </c:spPr>
          <c:invertIfNegative val="0"/>
          <c:cat>
            <c:strRef>
              <c:f>'Order vs Sales'!$A$4:$A$12</c:f>
              <c:strCache>
                <c:ptCount val="8"/>
                <c:pt idx="0">
                  <c:v>Jan</c:v>
                </c:pt>
                <c:pt idx="1">
                  <c:v>Feb</c:v>
                </c:pt>
                <c:pt idx="2">
                  <c:v>Mar</c:v>
                </c:pt>
                <c:pt idx="3">
                  <c:v>Apr</c:v>
                </c:pt>
                <c:pt idx="4">
                  <c:v>May</c:v>
                </c:pt>
                <c:pt idx="5">
                  <c:v>Jun</c:v>
                </c:pt>
                <c:pt idx="6">
                  <c:v>Jul</c:v>
                </c:pt>
                <c:pt idx="7">
                  <c:v>Aug</c:v>
                </c:pt>
              </c:strCache>
            </c:strRef>
          </c:cat>
          <c:val>
            <c:numRef>
              <c:f>'Order vs Sales'!$B$4:$B$12</c:f>
              <c:numCache>
                <c:formatCode>General</c:formatCode>
                <c:ptCount val="8"/>
                <c:pt idx="0">
                  <c:v>10769</c:v>
                </c:pt>
                <c:pt idx="1">
                  <c:v>15148</c:v>
                </c:pt>
                <c:pt idx="2">
                  <c:v>12447</c:v>
                </c:pt>
                <c:pt idx="3">
                  <c:v>5745</c:v>
                </c:pt>
                <c:pt idx="4">
                  <c:v>11301</c:v>
                </c:pt>
                <c:pt idx="5">
                  <c:v>16762</c:v>
                </c:pt>
                <c:pt idx="6">
                  <c:v>8628</c:v>
                </c:pt>
                <c:pt idx="7">
                  <c:v>4879</c:v>
                </c:pt>
              </c:numCache>
            </c:numRef>
          </c:val>
          <c:extLst>
            <c:ext xmlns:c16="http://schemas.microsoft.com/office/drawing/2014/chart" uri="{C3380CC4-5D6E-409C-BE32-E72D297353CC}">
              <c16:uniqueId val="{00000003-2A4E-4222-A2BF-1DFD976F2695}"/>
            </c:ext>
          </c:extLst>
        </c:ser>
        <c:ser>
          <c:idx val="1"/>
          <c:order val="1"/>
          <c:tx>
            <c:strRef>
              <c:f>'Order vs Sales'!$C$3</c:f>
              <c:strCache>
                <c:ptCount val="1"/>
                <c:pt idx="0">
                  <c:v>Count of Order ID</c:v>
                </c:pt>
              </c:strCache>
            </c:strRef>
          </c:tx>
          <c:spPr>
            <a:solidFill>
              <a:schemeClr val="accent2"/>
            </a:solidFill>
            <a:ln>
              <a:noFill/>
            </a:ln>
            <a:effectLst/>
          </c:spPr>
          <c:invertIfNegative val="0"/>
          <c:cat>
            <c:strRef>
              <c:f>'Order vs Sales'!$A$4:$A$12</c:f>
              <c:strCache>
                <c:ptCount val="8"/>
                <c:pt idx="0">
                  <c:v>Jan</c:v>
                </c:pt>
                <c:pt idx="1">
                  <c:v>Feb</c:v>
                </c:pt>
                <c:pt idx="2">
                  <c:v>Mar</c:v>
                </c:pt>
                <c:pt idx="3">
                  <c:v>Apr</c:v>
                </c:pt>
                <c:pt idx="4">
                  <c:v>May</c:v>
                </c:pt>
                <c:pt idx="5">
                  <c:v>Jun</c:v>
                </c:pt>
                <c:pt idx="6">
                  <c:v>Jul</c:v>
                </c:pt>
                <c:pt idx="7">
                  <c:v>Aug</c:v>
                </c:pt>
              </c:strCache>
            </c:strRef>
          </c:cat>
          <c:val>
            <c:numRef>
              <c:f>'Order vs Sales'!$C$4:$C$12</c:f>
              <c:numCache>
                <c:formatCode>General</c:formatCode>
                <c:ptCount val="8"/>
                <c:pt idx="0">
                  <c:v>7</c:v>
                </c:pt>
                <c:pt idx="1">
                  <c:v>8</c:v>
                </c:pt>
                <c:pt idx="2">
                  <c:v>8</c:v>
                </c:pt>
                <c:pt idx="3">
                  <c:v>6</c:v>
                </c:pt>
                <c:pt idx="4">
                  <c:v>5</c:v>
                </c:pt>
                <c:pt idx="5">
                  <c:v>7</c:v>
                </c:pt>
                <c:pt idx="6">
                  <c:v>5</c:v>
                </c:pt>
                <c:pt idx="7">
                  <c:v>4</c:v>
                </c:pt>
              </c:numCache>
            </c:numRef>
          </c:val>
          <c:extLst>
            <c:ext xmlns:c16="http://schemas.microsoft.com/office/drawing/2014/chart" uri="{C3380CC4-5D6E-409C-BE32-E72D297353CC}">
              <c16:uniqueId val="{00000004-2A4E-4222-A2BF-1DFD976F2695}"/>
            </c:ext>
          </c:extLst>
        </c:ser>
        <c:dLbls>
          <c:showLegendKey val="0"/>
          <c:showVal val="0"/>
          <c:showCatName val="0"/>
          <c:showSerName val="0"/>
          <c:showPercent val="0"/>
          <c:showBubbleSize val="0"/>
        </c:dLbls>
        <c:gapWidth val="219"/>
        <c:overlap val="-27"/>
        <c:axId val="2011359775"/>
        <c:axId val="2004941327"/>
      </c:barChart>
      <c:catAx>
        <c:axId val="201135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41327"/>
        <c:crosses val="autoZero"/>
        <c:auto val="1"/>
        <c:lblAlgn val="ctr"/>
        <c:lblOffset val="100"/>
        <c:noMultiLvlLbl val="0"/>
      </c:catAx>
      <c:valAx>
        <c:axId val="200494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59775"/>
        <c:crosses val="autoZero"/>
        <c:crossBetween val="between"/>
      </c:valAx>
      <c:spPr>
        <a:noFill/>
        <a:ln>
          <a:noFill/>
        </a:ln>
        <a:effectLst/>
      </c:spPr>
    </c:plotArea>
    <c:legend>
      <c:legendPos val="r"/>
      <c:layout>
        <c:manualLayout>
          <c:xMode val="edge"/>
          <c:yMode val="edge"/>
          <c:x val="0.47812174416933068"/>
          <c:y val="1.4675196850393698E-2"/>
          <c:w val="0.1845519680593285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Project.xlsx]Men vs Women!PivotTable5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Sales:Men Vs Women</a:t>
            </a:r>
          </a:p>
        </c:rich>
      </c:tx>
      <c:layout>
        <c:manualLayout>
          <c:xMode val="edge"/>
          <c:yMode val="edge"/>
          <c:x val="5.33748906386701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pivotFmt>
    </c:pivotFmts>
    <c:plotArea>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179-4286-82AF-CC9072AA93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179-4286-82AF-CC9072AA93CD}"/>
              </c:ext>
            </c:extLst>
          </c:dPt>
          <c:dLbls>
            <c:dLbl>
              <c:idx val="0"/>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179-4286-82AF-CC9072AA93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'Men vs Women'!$A$4:$A$6</c:f>
              <c:strCache>
                <c:ptCount val="2"/>
                <c:pt idx="0">
                  <c:v>Men</c:v>
                </c:pt>
                <c:pt idx="1">
                  <c:v>Women</c:v>
                </c:pt>
              </c:strCache>
            </c:strRef>
          </c:cat>
          <c:val>
            <c:numRef>
              <c:f>'Men vs Women'!$B$4:$B$6</c:f>
              <c:numCache>
                <c:formatCode>General</c:formatCode>
                <c:ptCount val="2"/>
                <c:pt idx="0">
                  <c:v>25168</c:v>
                </c:pt>
                <c:pt idx="1">
                  <c:v>60511</c:v>
                </c:pt>
              </c:numCache>
            </c:numRef>
          </c:val>
          <c:extLst>
            <c:ext xmlns:c16="http://schemas.microsoft.com/office/drawing/2014/chart" uri="{C3380CC4-5D6E-409C-BE32-E72D297353CC}">
              <c16:uniqueId val="{00000006-9179-4286-82AF-CC9072AA93C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Project.xlsx]Order status!PivotTable1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layout>
        <c:manualLayout>
          <c:xMode val="edge"/>
          <c:yMode val="edge"/>
          <c:x val="0.40336919524003756"/>
          <c:y val="6.9550717924965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EE-4C63-BC5A-636EF0A933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EE-4C63-BC5A-636EF0A933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EE-4C63-BC5A-636EF0A933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EE-4C63-BC5A-636EF0A933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EE-4C63-BC5A-636EF0A933E5}"/>
              </c:ext>
            </c:extLst>
          </c:dPt>
          <c:cat>
            <c:strRef>
              <c:f>'Order status'!$A$4:$A$8</c:f>
              <c:strCache>
                <c:ptCount val="5"/>
                <c:pt idx="0">
                  <c:v>Delivered</c:v>
                </c:pt>
                <c:pt idx="1">
                  <c:v>Refunded</c:v>
                </c:pt>
                <c:pt idx="2">
                  <c:v>Ordered</c:v>
                </c:pt>
                <c:pt idx="3">
                  <c:v>Cancelled</c:v>
                </c:pt>
                <c:pt idx="4">
                  <c:v>Returned</c:v>
                </c:pt>
              </c:strCache>
            </c:strRef>
          </c:cat>
          <c:val>
            <c:numRef>
              <c:f>'Order status'!$B$4:$B$8</c:f>
              <c:numCache>
                <c:formatCode>General</c:formatCode>
                <c:ptCount val="5"/>
                <c:pt idx="0">
                  <c:v>2757</c:v>
                </c:pt>
                <c:pt idx="1">
                  <c:v>1983</c:v>
                </c:pt>
                <c:pt idx="2">
                  <c:v>377</c:v>
                </c:pt>
                <c:pt idx="3">
                  <c:v>525</c:v>
                </c:pt>
                <c:pt idx="4">
                  <c:v>543</c:v>
                </c:pt>
              </c:numCache>
            </c:numRef>
          </c:val>
          <c:extLst>
            <c:ext xmlns:c16="http://schemas.microsoft.com/office/drawing/2014/chart" uri="{C3380CC4-5D6E-409C-BE32-E72D297353CC}">
              <c16:uniqueId val="{00000008-1996-43DF-AD18-CE7646FF18F4}"/>
            </c:ext>
          </c:extLst>
        </c:ser>
        <c:dLbls>
          <c:showLegendKey val="0"/>
          <c:showVal val="0"/>
          <c:showCatName val="0"/>
          <c:showSerName val="0"/>
          <c:showPercent val="0"/>
          <c:showBubbleSize val="0"/>
          <c:showLeaderLines val="1"/>
        </c:dLbls>
        <c:firstSliceAng val="15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Project.xlsx]States!PivotTable1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Sales:Top 5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States!$A$4:$A$8</c:f>
              <c:strCache>
                <c:ptCount val="5"/>
                <c:pt idx="0">
                  <c:v>ODISHA</c:v>
                </c:pt>
                <c:pt idx="1">
                  <c:v>UTTAR PRADESH</c:v>
                </c:pt>
                <c:pt idx="2">
                  <c:v>HARYANA</c:v>
                </c:pt>
                <c:pt idx="3">
                  <c:v>BIHAR</c:v>
                </c:pt>
                <c:pt idx="4">
                  <c:v>UTTARAKHAND</c:v>
                </c:pt>
              </c:strCache>
            </c:strRef>
          </c:cat>
          <c:val>
            <c:numRef>
              <c:f>States!$B$4:$B$8</c:f>
              <c:numCache>
                <c:formatCode>General</c:formatCode>
                <c:ptCount val="5"/>
                <c:pt idx="0">
                  <c:v>8590</c:v>
                </c:pt>
                <c:pt idx="1">
                  <c:v>8342</c:v>
                </c:pt>
                <c:pt idx="2">
                  <c:v>8279</c:v>
                </c:pt>
                <c:pt idx="3">
                  <c:v>7780</c:v>
                </c:pt>
                <c:pt idx="4">
                  <c:v>7630</c:v>
                </c:pt>
              </c:numCache>
            </c:numRef>
          </c:val>
          <c:extLst>
            <c:ext xmlns:c16="http://schemas.microsoft.com/office/drawing/2014/chart" uri="{C3380CC4-5D6E-409C-BE32-E72D297353CC}">
              <c16:uniqueId val="{00000002-9C2A-4C05-ABA3-D6194E7F962F}"/>
            </c:ext>
          </c:extLst>
        </c:ser>
        <c:dLbls>
          <c:dLblPos val="inEnd"/>
          <c:showLegendKey val="0"/>
          <c:showVal val="1"/>
          <c:showCatName val="0"/>
          <c:showSerName val="0"/>
          <c:showPercent val="0"/>
          <c:showBubbleSize val="0"/>
        </c:dLbls>
        <c:gapWidth val="115"/>
        <c:overlap val="-20"/>
        <c:axId val="71569215"/>
        <c:axId val="1962878576"/>
      </c:barChart>
      <c:catAx>
        <c:axId val="71569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2878576"/>
        <c:crosses val="autoZero"/>
        <c:auto val="1"/>
        <c:lblAlgn val="ctr"/>
        <c:lblOffset val="100"/>
        <c:noMultiLvlLbl val="0"/>
      </c:catAx>
      <c:valAx>
        <c:axId val="19628785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6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Project.xlsx]Age n 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Orders:Age</a:t>
            </a:r>
            <a:r>
              <a:rPr lang="en-US" baseline="0"/>
              <a:t> Vs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7182130584192493E-2"/>
              <c:y val="3.903354293828025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96565377781389E-2"/>
                  <c:h val="5.4586414403117636E-2"/>
                </c:manualLayout>
              </c15:layout>
            </c:ext>
          </c:extLst>
        </c:dLbl>
      </c:pivotFmt>
      <c:pivotFmt>
        <c:idx val="3"/>
        <c:spPr>
          <a:solidFill>
            <a:schemeClr val="accent1"/>
          </a:solidFill>
          <a:ln>
            <a:noFill/>
          </a:ln>
          <a:effectLst/>
          <a:sp3d/>
        </c:spPr>
        <c:dLbl>
          <c:idx val="0"/>
          <c:layout>
            <c:manualLayout>
              <c:x val="3.7227949599083619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3.7227949599083619E-2"/>
              <c:y val="-1.1709601873536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pivotFmt>
      <c:pivotFmt>
        <c:idx val="6"/>
        <c:spPr>
          <a:solidFill>
            <a:schemeClr val="accent1"/>
          </a:solidFill>
          <a:ln>
            <a:noFill/>
          </a:ln>
          <a:effectLst/>
          <a:sp3d/>
        </c:spPr>
        <c:dLbl>
          <c:idx val="0"/>
          <c:layout>
            <c:manualLayout>
              <c:x val="3.4364261168384883E-2"/>
              <c:y val="-1.56128024980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57731958762887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0045819014891181E-2"/>
              <c:y val="-7.8064012490241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1731714785651794"/>
          <c:y val="0.1756440281030445"/>
          <c:w val="0.82785892388451443"/>
          <c:h val="0.69124392237855514"/>
        </c:manualLayout>
      </c:layout>
      <c:bar3DChart>
        <c:barDir val="col"/>
        <c:grouping val="clustered"/>
        <c:varyColors val="0"/>
        <c:ser>
          <c:idx val="0"/>
          <c:order val="0"/>
          <c:tx>
            <c:strRef>
              <c:f>'Age n Gender'!$B$3:$B$4</c:f>
              <c:strCache>
                <c:ptCount val="1"/>
                <c:pt idx="0">
                  <c:v>Men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Teenager</c:v>
                </c:pt>
                <c:pt idx="1">
                  <c:v>Senior</c:v>
                </c:pt>
                <c:pt idx="2">
                  <c:v>Adult</c:v>
                </c:pt>
              </c:strCache>
            </c:strRef>
          </c:cat>
          <c:val>
            <c:numRef>
              <c:f>'Age n Gender'!$B$5:$B$7</c:f>
              <c:numCache>
                <c:formatCode>0.00%</c:formatCode>
                <c:ptCount val="3"/>
                <c:pt idx="0">
                  <c:v>0.1544058205335489</c:v>
                </c:pt>
                <c:pt idx="1">
                  <c:v>5.9337105901374296E-2</c:v>
                </c:pt>
                <c:pt idx="2">
                  <c:v>0.15052546483427648</c:v>
                </c:pt>
              </c:numCache>
            </c:numRef>
          </c:val>
          <c:extLst>
            <c:ext xmlns:c16="http://schemas.microsoft.com/office/drawing/2014/chart" uri="{C3380CC4-5D6E-409C-BE32-E72D297353CC}">
              <c16:uniqueId val="{00000006-7094-4D59-AA67-AC2B96218D24}"/>
            </c:ext>
          </c:extLst>
        </c:ser>
        <c:ser>
          <c:idx val="1"/>
          <c:order val="1"/>
          <c:tx>
            <c:strRef>
              <c:f>'Age n Gender'!$C$3:$C$4</c:f>
              <c:strCache>
                <c:ptCount val="1"/>
                <c:pt idx="0">
                  <c:v>Women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n Gender'!$A$5:$A$7</c:f>
              <c:strCache>
                <c:ptCount val="3"/>
                <c:pt idx="0">
                  <c:v>Teenager</c:v>
                </c:pt>
                <c:pt idx="1">
                  <c:v>Senior</c:v>
                </c:pt>
                <c:pt idx="2">
                  <c:v>Adult</c:v>
                </c:pt>
              </c:strCache>
            </c:strRef>
          </c:cat>
          <c:val>
            <c:numRef>
              <c:f>'Age n Gender'!$C$5:$C$7</c:f>
              <c:numCache>
                <c:formatCode>0.00%</c:formatCode>
                <c:ptCount val="3"/>
                <c:pt idx="0">
                  <c:v>0.2750202101859337</c:v>
                </c:pt>
                <c:pt idx="1">
                  <c:v>0.17574777687954729</c:v>
                </c:pt>
                <c:pt idx="2">
                  <c:v>0.18496362166531932</c:v>
                </c:pt>
              </c:numCache>
            </c:numRef>
          </c:val>
          <c:extLst>
            <c:ext xmlns:c16="http://schemas.microsoft.com/office/drawing/2014/chart" uri="{C3380CC4-5D6E-409C-BE32-E72D297353CC}">
              <c16:uniqueId val="{0000000A-7094-4D59-AA67-AC2B96218D24}"/>
            </c:ext>
          </c:extLst>
        </c:ser>
        <c:dLbls>
          <c:showLegendKey val="0"/>
          <c:showVal val="1"/>
          <c:showCatName val="0"/>
          <c:showSerName val="0"/>
          <c:showPercent val="0"/>
          <c:showBubbleSize val="0"/>
        </c:dLbls>
        <c:gapWidth val="150"/>
        <c:shape val="box"/>
        <c:axId val="1335574064"/>
        <c:axId val="1342814384"/>
        <c:axId val="0"/>
      </c:bar3DChart>
      <c:catAx>
        <c:axId val="133557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14384"/>
        <c:crosses val="autoZero"/>
        <c:auto val="1"/>
        <c:lblAlgn val="ctr"/>
        <c:lblOffset val="100"/>
        <c:noMultiLvlLbl val="0"/>
      </c:catAx>
      <c:valAx>
        <c:axId val="1342814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74064"/>
        <c:crosses val="autoZero"/>
        <c:crossBetween val="between"/>
      </c:valAx>
      <c:spPr>
        <a:noFill/>
        <a:ln>
          <a:noFill/>
        </a:ln>
        <a:effectLst/>
      </c:spPr>
    </c:plotArea>
    <c:legend>
      <c:legendPos val="r"/>
      <c:layout>
        <c:manualLayout>
          <c:xMode val="edge"/>
          <c:yMode val="edge"/>
          <c:x val="0.84443159166959803"/>
          <c:y val="4.1247303103505502E-2"/>
          <c:w val="0.12524803600580856"/>
          <c:h val="0.13173394309317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[Rinky Project.xlsx]Channels!PivotTable2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8474081364829398E-2"/>
              <c:y val="-1.77267424905220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62489063867017"/>
                  <c:h val="7.8634441528142307E-2"/>
                </c:manualLayout>
              </c15:layout>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2198162729658794E-3"/>
              <c:y val="-2.0902230971128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8.0207786526684168E-3"/>
              <c:y val="-3.2389909594634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5301181102362218E-2"/>
              <c:y val="3.99795858850976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3.4265091863517061E-2"/>
              <c:y val="1.0322980460775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94-49DC-911B-3E9718E197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94-49DC-911B-3E9718E197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F94-49DC-911B-3E9718E197C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F94-49DC-911B-3E9718E197C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F94-49DC-911B-3E9718E197C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F94-49DC-911B-3E9718E197C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F94-49DC-911B-3E9718E197C7}"/>
              </c:ext>
            </c:extLst>
          </c:dPt>
          <c:dLbls>
            <c:dLbl>
              <c:idx val="0"/>
              <c:layout>
                <c:manualLayout>
                  <c:x val="-4.8474081364829398E-2"/>
                  <c:y val="-1.77267424905220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62489063867017"/>
                      <c:h val="7.8634441528142307E-2"/>
                    </c:manualLayout>
                  </c15:layout>
                </c:ext>
                <c:ext xmlns:c16="http://schemas.microsoft.com/office/drawing/2014/chart" uri="{C3380CC4-5D6E-409C-BE32-E72D297353CC}">
                  <c16:uniqueId val="{00000001-4F94-49DC-911B-3E9718E197C7}"/>
                </c:ext>
              </c:extLst>
            </c:dLbl>
            <c:dLbl>
              <c:idx val="1"/>
              <c:layout>
                <c:manualLayout>
                  <c:x val="-2.2198162729658794E-3"/>
                  <c:y val="-2.0902230971128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94-49DC-911B-3E9718E197C7}"/>
                </c:ext>
              </c:extLst>
            </c:dLbl>
            <c:dLbl>
              <c:idx val="2"/>
              <c:layout>
                <c:manualLayout>
                  <c:x val="8.0207786526684168E-3"/>
                  <c:y val="-3.2389909594634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94-49DC-911B-3E9718E197C7}"/>
                </c:ext>
              </c:extLst>
            </c:dLbl>
            <c:dLbl>
              <c:idx val="3"/>
              <c:layout>
                <c:manualLayout>
                  <c:x val="-1.5301181102362218E-2"/>
                  <c:y val="3.99795858850976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94-49DC-911B-3E9718E197C7}"/>
                </c:ext>
              </c:extLst>
            </c:dLbl>
            <c:dLbl>
              <c:idx val="4"/>
              <c:layout>
                <c:manualLayout>
                  <c:x val="3.4265091863517061E-2"/>
                  <c:y val="1.0322980460775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F94-49DC-911B-3E9718E197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Channels!$A$4:$A$10</c:f>
              <c:strCache>
                <c:ptCount val="7"/>
                <c:pt idx="0">
                  <c:v>Amazon</c:v>
                </c:pt>
                <c:pt idx="1">
                  <c:v>Flipkart</c:v>
                </c:pt>
                <c:pt idx="2">
                  <c:v>Meesho</c:v>
                </c:pt>
                <c:pt idx="3">
                  <c:v>Myntra</c:v>
                </c:pt>
                <c:pt idx="4">
                  <c:v>Nalli</c:v>
                </c:pt>
                <c:pt idx="5">
                  <c:v>Ajio</c:v>
                </c:pt>
                <c:pt idx="6">
                  <c:v>Others</c:v>
                </c:pt>
              </c:strCache>
            </c:strRef>
          </c:cat>
          <c:val>
            <c:numRef>
              <c:f>Channels!$B$4:$B$10</c:f>
              <c:numCache>
                <c:formatCode>0.00%</c:formatCode>
                <c:ptCount val="7"/>
                <c:pt idx="0">
                  <c:v>0.28763136620856911</c:v>
                </c:pt>
                <c:pt idx="1">
                  <c:v>0.17235246564268392</c:v>
                </c:pt>
                <c:pt idx="2">
                  <c:v>0.23702506063055781</c:v>
                </c:pt>
                <c:pt idx="3">
                  <c:v>0.19094583670169765</c:v>
                </c:pt>
                <c:pt idx="4">
                  <c:v>5.9013742926434923E-2</c:v>
                </c:pt>
                <c:pt idx="5">
                  <c:v>1.6491511721907843E-2</c:v>
                </c:pt>
                <c:pt idx="6">
                  <c:v>3.6540016168148746E-2</c:v>
                </c:pt>
              </c:numCache>
            </c:numRef>
          </c:val>
          <c:extLst>
            <c:ext xmlns:c16="http://schemas.microsoft.com/office/drawing/2014/chart" uri="{C3380CC4-5D6E-409C-BE32-E72D297353CC}">
              <c16:uniqueId val="{00000004-7B64-4F61-9BBA-A472D90B8CA8}"/>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683035</xdr:colOff>
      <xdr:row>2</xdr:row>
      <xdr:rowOff>52540</xdr:rowOff>
    </xdr:from>
    <xdr:to>
      <xdr:col>11</xdr:col>
      <xdr:colOff>76200</xdr:colOff>
      <xdr:row>17</xdr:row>
      <xdr:rowOff>0</xdr:rowOff>
    </xdr:to>
    <xdr:graphicFrame macro="">
      <xdr:nvGraphicFramePr>
        <xdr:cNvPr id="2" name="Chart 1">
          <a:extLst>
            <a:ext uri="{FF2B5EF4-FFF2-40B4-BE49-F238E27FC236}">
              <a16:creationId xmlns:a16="http://schemas.microsoft.com/office/drawing/2014/main" id="{C4471C66-A6D3-4D90-9E8A-94A435C1C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97933</xdr:colOff>
      <xdr:row>2</xdr:row>
      <xdr:rowOff>147215</xdr:rowOff>
    </xdr:from>
    <xdr:to>
      <xdr:col>19</xdr:col>
      <xdr:colOff>352930</xdr:colOff>
      <xdr:row>17</xdr:row>
      <xdr:rowOff>21771</xdr:rowOff>
    </xdr:to>
    <xdr:graphicFrame macro="">
      <xdr:nvGraphicFramePr>
        <xdr:cNvPr id="3" name="Chart 2">
          <a:extLst>
            <a:ext uri="{FF2B5EF4-FFF2-40B4-BE49-F238E27FC236}">
              <a16:creationId xmlns:a16="http://schemas.microsoft.com/office/drawing/2014/main" id="{D13D41F8-FBF0-46D0-850B-F48AA9FCA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326571</xdr:colOff>
      <xdr:row>2</xdr:row>
      <xdr:rowOff>124001</xdr:rowOff>
    </xdr:from>
    <xdr:to>
      <xdr:col>27</xdr:col>
      <xdr:colOff>576942</xdr:colOff>
      <xdr:row>17</xdr:row>
      <xdr:rowOff>87085</xdr:rowOff>
    </xdr:to>
    <xdr:graphicFrame macro="">
      <xdr:nvGraphicFramePr>
        <xdr:cNvPr id="4" name="Chart 3">
          <a:extLst>
            <a:ext uri="{FF2B5EF4-FFF2-40B4-BE49-F238E27FC236}">
              <a16:creationId xmlns:a16="http://schemas.microsoft.com/office/drawing/2014/main" id="{206223E9-F8BF-4D28-828B-7B3343A95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631371</xdr:colOff>
      <xdr:row>19</xdr:row>
      <xdr:rowOff>65314</xdr:rowOff>
    </xdr:from>
    <xdr:to>
      <xdr:col>11</xdr:col>
      <xdr:colOff>152400</xdr:colOff>
      <xdr:row>37</xdr:row>
      <xdr:rowOff>185056</xdr:rowOff>
    </xdr:to>
    <xdr:graphicFrame macro="">
      <xdr:nvGraphicFramePr>
        <xdr:cNvPr id="5" name="Chart 4">
          <a:extLst>
            <a:ext uri="{FF2B5EF4-FFF2-40B4-BE49-F238E27FC236}">
              <a16:creationId xmlns:a16="http://schemas.microsoft.com/office/drawing/2014/main" id="{FE3D2A13-B9C1-404B-B80A-131322B3D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97972</xdr:colOff>
      <xdr:row>19</xdr:row>
      <xdr:rowOff>43542</xdr:rowOff>
    </xdr:from>
    <xdr:to>
      <xdr:col>19</xdr:col>
      <xdr:colOff>413658</xdr:colOff>
      <xdr:row>37</xdr:row>
      <xdr:rowOff>174172</xdr:rowOff>
    </xdr:to>
    <xdr:graphicFrame macro="">
      <xdr:nvGraphicFramePr>
        <xdr:cNvPr id="6" name="Chart 5">
          <a:extLst>
            <a:ext uri="{FF2B5EF4-FFF2-40B4-BE49-F238E27FC236}">
              <a16:creationId xmlns:a16="http://schemas.microsoft.com/office/drawing/2014/main" id="{9DBD3518-2E15-440B-8853-845824AAF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293351</xdr:colOff>
      <xdr:row>19</xdr:row>
      <xdr:rowOff>65314</xdr:rowOff>
    </xdr:from>
    <xdr:to>
      <xdr:col>27</xdr:col>
      <xdr:colOff>596477</xdr:colOff>
      <xdr:row>37</xdr:row>
      <xdr:rowOff>141514</xdr:rowOff>
    </xdr:to>
    <xdr:graphicFrame macro="">
      <xdr:nvGraphicFramePr>
        <xdr:cNvPr id="7" name="Chart 6">
          <a:extLst>
            <a:ext uri="{FF2B5EF4-FFF2-40B4-BE49-F238E27FC236}">
              <a16:creationId xmlns:a16="http://schemas.microsoft.com/office/drawing/2014/main" id="{7B20EF35-7007-4539-A88C-0661FA8EC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154660</xdr:colOff>
      <xdr:row>1</xdr:row>
      <xdr:rowOff>33494</xdr:rowOff>
    </xdr:from>
    <xdr:to>
      <xdr:col>2</xdr:col>
      <xdr:colOff>25120</xdr:colOff>
      <xdr:row>8</xdr:row>
      <xdr:rowOff>99979</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7EE86998-3E25-3A45-967F-ADA7AD4DFA9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4660" y="326571"/>
              <a:ext cx="1089660" cy="1492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132304</xdr:colOff>
      <xdr:row>10</xdr:row>
      <xdr:rowOff>88928</xdr:rowOff>
    </xdr:from>
    <xdr:to>
      <xdr:col>3</xdr:col>
      <xdr:colOff>127280</xdr:colOff>
      <xdr:row>15</xdr:row>
      <xdr:rowOff>157424</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C35405FE-89BA-6FEA-58FD-906D91D45AB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32304" y="2070128"/>
              <a:ext cx="1823776" cy="1128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101571</xdr:colOff>
      <xdr:row>18</xdr:row>
      <xdr:rowOff>74943</xdr:rowOff>
    </xdr:from>
    <xdr:to>
      <xdr:col>3</xdr:col>
      <xdr:colOff>128954</xdr:colOff>
      <xdr:row>26</xdr:row>
      <xdr:rowOff>117231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45FACD5-D451-673F-BEF3-8C69AF5EC1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572" y="3556697"/>
              <a:ext cx="1823776" cy="1509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43840</xdr:colOff>
      <xdr:row>18</xdr:row>
      <xdr:rowOff>174320</xdr:rowOff>
    </xdr:from>
    <xdr:to>
      <xdr:col>15</xdr:col>
      <xdr:colOff>89559</xdr:colOff>
      <xdr:row>19</xdr:row>
      <xdr:rowOff>93946</xdr:rowOff>
    </xdr:to>
    <xdr:sp macro="" textlink="">
      <xdr:nvSpPr>
        <xdr:cNvPr id="12" name="TextBox 11">
          <a:extLst>
            <a:ext uri="{FF2B5EF4-FFF2-40B4-BE49-F238E27FC236}">
              <a16:creationId xmlns:a16="http://schemas.microsoft.com/office/drawing/2014/main" id="{9877A7E0-0528-87B6-5EDA-DDE9B571BEC7}"/>
            </a:ext>
          </a:extLst>
        </xdr:cNvPr>
        <xdr:cNvSpPr txBox="1"/>
      </xdr:nvSpPr>
      <xdr:spPr>
        <a:xfrm>
          <a:off x="9292224" y="3660731"/>
          <a:ext cx="45719" cy="1075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10439</xdr:colOff>
      <xdr:row>0</xdr:row>
      <xdr:rowOff>0</xdr:rowOff>
    </xdr:from>
    <xdr:to>
      <xdr:col>27</xdr:col>
      <xdr:colOff>489857</xdr:colOff>
      <xdr:row>1</xdr:row>
      <xdr:rowOff>156574</xdr:rowOff>
    </xdr:to>
    <xdr:sp macro="" textlink="">
      <xdr:nvSpPr>
        <xdr:cNvPr id="13" name="TextBox 12">
          <a:extLst>
            <a:ext uri="{FF2B5EF4-FFF2-40B4-BE49-F238E27FC236}">
              <a16:creationId xmlns:a16="http://schemas.microsoft.com/office/drawing/2014/main" id="{45FC5105-35C4-8A65-EC38-E6CCA4DC6286}"/>
            </a:ext>
          </a:extLst>
        </xdr:cNvPr>
        <xdr:cNvSpPr txBox="1"/>
      </xdr:nvSpPr>
      <xdr:spPr>
        <a:xfrm>
          <a:off x="2612125" y="0"/>
          <a:ext cx="14228075" cy="4504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VRINDA</a:t>
          </a:r>
          <a:r>
            <a:rPr lang="en-US" sz="2400" b="1" baseline="0"/>
            <a:t> STORE SALES DASHBOARD</a:t>
          </a:r>
          <a:endParaRPr lang="en-US" sz="2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405384</xdr:colOff>
      <xdr:row>2</xdr:row>
      <xdr:rowOff>24384</xdr:rowOff>
    </xdr:from>
    <xdr:to>
      <xdr:col>12</xdr:col>
      <xdr:colOff>316992</xdr:colOff>
      <xdr:row>17</xdr:row>
      <xdr:rowOff>24384</xdr:rowOff>
    </xdr:to>
    <xdr:graphicFrame macro="">
      <xdr:nvGraphicFramePr>
        <xdr:cNvPr id="2" name="Chart 1">
          <a:extLst>
            <a:ext uri="{FF2B5EF4-FFF2-40B4-BE49-F238E27FC236}">
              <a16:creationId xmlns:a16="http://schemas.microsoft.com/office/drawing/2014/main" id="{E25E2730-1B64-B8E7-CC0D-C71797C57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129540</xdr:colOff>
      <xdr:row>5</xdr:row>
      <xdr:rowOff>83820</xdr:rowOff>
    </xdr:from>
    <xdr:to>
      <xdr:col>11</xdr:col>
      <xdr:colOff>434340</xdr:colOff>
      <xdr:row>20</xdr:row>
      <xdr:rowOff>83820</xdr:rowOff>
    </xdr:to>
    <xdr:graphicFrame macro="">
      <xdr:nvGraphicFramePr>
        <xdr:cNvPr id="2" name="Chart 1">
          <a:extLst>
            <a:ext uri="{FF2B5EF4-FFF2-40B4-BE49-F238E27FC236}">
              <a16:creationId xmlns:a16="http://schemas.microsoft.com/office/drawing/2014/main" id="{15E53934-447C-5EED-F1B3-970107654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539750</xdr:colOff>
      <xdr:row>8</xdr:row>
      <xdr:rowOff>148590</xdr:rowOff>
    </xdr:from>
    <xdr:to>
      <xdr:col>11</xdr:col>
      <xdr:colOff>403860</xdr:colOff>
      <xdr:row>23</xdr:row>
      <xdr:rowOff>95250</xdr:rowOff>
    </xdr:to>
    <xdr:graphicFrame macro="">
      <xdr:nvGraphicFramePr>
        <xdr:cNvPr id="2" name="Chart 1">
          <a:extLst>
            <a:ext uri="{FF2B5EF4-FFF2-40B4-BE49-F238E27FC236}">
              <a16:creationId xmlns:a16="http://schemas.microsoft.com/office/drawing/2014/main" id="{FFAA2B3E-0C40-96D3-E5E3-DB50F3F93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403860</xdr:colOff>
      <xdr:row>8</xdr:row>
      <xdr:rowOff>148590</xdr:rowOff>
    </xdr:from>
    <xdr:to>
      <xdr:col>11</xdr:col>
      <xdr:colOff>99060</xdr:colOff>
      <xdr:row>23</xdr:row>
      <xdr:rowOff>148590</xdr:rowOff>
    </xdr:to>
    <xdr:graphicFrame macro="">
      <xdr:nvGraphicFramePr>
        <xdr:cNvPr id="2" name="Chart 1">
          <a:extLst>
            <a:ext uri="{FF2B5EF4-FFF2-40B4-BE49-F238E27FC236}">
              <a16:creationId xmlns:a16="http://schemas.microsoft.com/office/drawing/2014/main" id="{9F60A96F-09B3-4F02-4A02-D2506F5CE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167640</xdr:colOff>
      <xdr:row>3</xdr:row>
      <xdr:rowOff>91440</xdr:rowOff>
    </xdr:from>
    <xdr:to>
      <xdr:col>11</xdr:col>
      <xdr:colOff>335280</xdr:colOff>
      <xdr:row>21</xdr:row>
      <xdr:rowOff>53340</xdr:rowOff>
    </xdr:to>
    <xdr:graphicFrame macro="">
      <xdr:nvGraphicFramePr>
        <xdr:cNvPr id="2" name="Chart 1">
          <a:extLst>
            <a:ext uri="{FF2B5EF4-FFF2-40B4-BE49-F238E27FC236}">
              <a16:creationId xmlns:a16="http://schemas.microsoft.com/office/drawing/2014/main" id="{4AC052C7-372E-3714-3C91-BA2B53CCC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518160</xdr:colOff>
      <xdr:row>5</xdr:row>
      <xdr:rowOff>83820</xdr:rowOff>
    </xdr:from>
    <xdr:to>
      <xdr:col>11</xdr:col>
      <xdr:colOff>213360</xdr:colOff>
      <xdr:row>20</xdr:row>
      <xdr:rowOff>83820</xdr:rowOff>
    </xdr:to>
    <xdr:graphicFrame macro="">
      <xdr:nvGraphicFramePr>
        <xdr:cNvPr id="2" name="Chart 1">
          <a:extLst>
            <a:ext uri="{FF2B5EF4-FFF2-40B4-BE49-F238E27FC236}">
              <a16:creationId xmlns:a16="http://schemas.microsoft.com/office/drawing/2014/main" id="{D8FBA789-B6DC-E9F2-A099-C2B9504E8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KY SHARMA" refreshedDate="46274.639272800923" missingItemsLimit="0" createdVersion="8" refreshedVersion="8" minRefreshableVersion="3" recordCount="50" xr:uid="{4F97FC2C-DC81-41AC-8EA2-8853B1C50384}">
  <cacheSource type="worksheet">
    <worksheetSource ref="A1:O51" sheet="Sheet1"/>
  </cacheSource>
  <cacheFields count="15">
    <cacheField name="Index" numFmtId="0">
      <sharedItems containsSemiMixedTypes="0" containsString="0" containsNumber="1" containsInteger="1" minValue="1" maxValue="50"/>
    </cacheField>
    <cacheField name="Order ID" numFmtId="0">
      <sharedItems containsSemiMixedTypes="0" containsString="0" containsNumber="1" containsInteger="1" minValue="11" maxValue="150"/>
    </cacheField>
    <cacheField name="Cust. ID" numFmtId="0">
      <sharedItems/>
    </cacheField>
    <cacheField name="Gender" numFmtId="0">
      <sharedItems count="2">
        <s v="Women"/>
        <s v="Men"/>
      </sharedItems>
    </cacheField>
    <cacheField name="Age" numFmtId="0">
      <sharedItems containsSemiMixedTypes="0" containsString="0" containsNumber="1" containsInteger="1" minValue="1" maxValue="95"/>
    </cacheField>
    <cacheField name="Age Group" numFmtId="0">
      <sharedItems count="3">
        <s v="Adult"/>
        <s v="Senior"/>
        <s v="Teenager"/>
      </sharedItems>
    </cacheField>
    <cacheField name="Date" numFmtId="14">
      <sharedItems containsSemiMixedTypes="0" containsNonDate="0" containsDate="1" containsString="0" minDate="2026-01-01T00:00:00" maxDate="2026-09-01T00:00:00"/>
    </cacheField>
    <cacheField name="Month" numFmtId="0">
      <sharedItems count="8">
        <s v="Feb"/>
        <s v="Jun"/>
        <s v="Aug"/>
        <s v="Jan"/>
        <s v="May"/>
        <s v="Mar"/>
        <s v="Jul"/>
        <s v="Apr"/>
      </sharedItems>
    </cacheField>
    <cacheField name="Status" numFmtId="0">
      <sharedItems count="5">
        <s v="Delivered"/>
        <s v="Ordered"/>
        <s v="Cancelled"/>
        <s v="Refunded"/>
        <s v="Returned"/>
      </sharedItems>
    </cacheField>
    <cacheField name="Channel" numFmtId="0">
      <sharedItems count="7">
        <s v="Myntra"/>
        <s v="Ajio"/>
        <s v="Amazon"/>
        <s v="Flipkart"/>
        <s v="Meesho"/>
        <s v="Others"/>
        <s v="Nalli"/>
      </sharedItems>
    </cacheField>
    <cacheField name="Category" numFmtId="0">
      <sharedItems count="4">
        <s v="Kurta"/>
        <s v="Set"/>
        <s v="Western Dress"/>
        <s v="Top"/>
      </sharedItems>
    </cacheField>
    <cacheField name="Size" numFmtId="0">
      <sharedItems/>
    </cacheField>
    <cacheField name="Qty" numFmtId="0">
      <sharedItems containsSemiMixedTypes="0" containsString="0" containsNumber="1" containsInteger="1" minValue="1" maxValue="5"/>
    </cacheField>
    <cacheField name="Amount" numFmtId="0">
      <sharedItems containsSemiMixedTypes="0" containsString="0" containsNumber="1" containsInteger="1" minValue="243" maxValue="5999"/>
    </cacheField>
    <cacheField name="Shipping State" numFmtId="0">
      <sharedItems count="20">
        <s v="UTTAR PRADESH"/>
        <s v="WEST BENGAL"/>
        <s v="ASSAM"/>
        <s v="MADHYA PRADESH"/>
        <s v="RAJASTHAN"/>
        <s v="UTTARAKHAND"/>
        <s v="MAHARASHTRA"/>
        <s v="KERALA"/>
        <s v="GUJARAT"/>
        <s v="ODISHA"/>
        <s v="KARNATAKA"/>
        <s v="HARYANA"/>
        <s v="BIHAR"/>
        <s v="DELHI"/>
        <s v="ANDHRA PRADESH"/>
        <s v="SIKKIM"/>
        <s v="PUNJAB"/>
        <s v="TAMIL NADU"/>
        <s v="CHATTISGARH"/>
        <s v="JHARKHAND"/>
      </sharedItems>
    </cacheField>
  </cacheFields>
  <extLst>
    <ext xmlns:x14="http://schemas.microsoft.com/office/spreadsheetml/2009/9/main" uri="{725AE2AE-9491-48be-B2B4-4EB974FC3084}">
      <x14:pivotCacheDefinition pivotCacheId="504894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11"/>
    <s v="101-01"/>
    <x v="0"/>
    <n v="44"/>
    <x v="0"/>
    <d v="2026-02-08T00:00:00"/>
    <x v="0"/>
    <x v="0"/>
    <x v="0"/>
    <x v="0"/>
    <s v="XXL"/>
    <n v="1"/>
    <n v="243"/>
    <x v="0"/>
  </r>
  <r>
    <n v="2"/>
    <n v="102"/>
    <s v="102-02"/>
    <x v="0"/>
    <n v="34"/>
    <x v="0"/>
    <d v="2026-02-09T00:00:00"/>
    <x v="0"/>
    <x v="1"/>
    <x v="1"/>
    <x v="1"/>
    <s v="L"/>
    <n v="5"/>
    <n v="5999"/>
    <x v="1"/>
  </r>
  <r>
    <n v="3"/>
    <n v="103"/>
    <s v="103-03"/>
    <x v="0"/>
    <n v="43"/>
    <x v="1"/>
    <d v="2026-06-26T00:00:00"/>
    <x v="1"/>
    <x v="0"/>
    <x v="0"/>
    <x v="1"/>
    <s v="S"/>
    <n v="2"/>
    <n v="1200"/>
    <x v="2"/>
  </r>
  <r>
    <n v="4"/>
    <n v="104"/>
    <s v="104-04"/>
    <x v="0"/>
    <n v="56"/>
    <x v="1"/>
    <d v="2026-08-31T00:00:00"/>
    <x v="2"/>
    <x v="0"/>
    <x v="2"/>
    <x v="1"/>
    <s v="M"/>
    <n v="1"/>
    <n v="500"/>
    <x v="3"/>
  </r>
  <r>
    <n v="5"/>
    <n v="105"/>
    <s v="105-05"/>
    <x v="0"/>
    <n v="76"/>
    <x v="1"/>
    <d v="2026-06-26T00:00:00"/>
    <x v="1"/>
    <x v="0"/>
    <x v="0"/>
    <x v="0"/>
    <s v="XXL"/>
    <n v="1"/>
    <n v="499"/>
    <x v="4"/>
  </r>
  <r>
    <n v="6"/>
    <n v="106"/>
    <s v="106-06"/>
    <x v="1"/>
    <n v="65"/>
    <x v="0"/>
    <d v="2026-02-07T00:00:00"/>
    <x v="0"/>
    <x v="0"/>
    <x v="3"/>
    <x v="2"/>
    <s v="XXL"/>
    <n v="2"/>
    <n v="486"/>
    <x v="0"/>
  </r>
  <r>
    <n v="7"/>
    <n v="107"/>
    <s v="107-07"/>
    <x v="0"/>
    <n v="44"/>
    <x v="2"/>
    <d v="2026-01-10T00:00:00"/>
    <x v="3"/>
    <x v="2"/>
    <x v="4"/>
    <x v="0"/>
    <s v="XXL"/>
    <n v="3"/>
    <n v="2000"/>
    <x v="5"/>
  </r>
  <r>
    <n v="8"/>
    <n v="108"/>
    <s v="108-08"/>
    <x v="0"/>
    <n v="12"/>
    <x v="2"/>
    <d v="2026-02-07T00:00:00"/>
    <x v="0"/>
    <x v="0"/>
    <x v="5"/>
    <x v="0"/>
    <s v="M"/>
    <n v="5"/>
    <n v="1900"/>
    <x v="6"/>
  </r>
  <r>
    <n v="9"/>
    <n v="109"/>
    <s v="109-09"/>
    <x v="0"/>
    <n v="21"/>
    <x v="0"/>
    <d v="2026-05-03T00:00:00"/>
    <x v="4"/>
    <x v="3"/>
    <x v="2"/>
    <x v="0"/>
    <s v="XL"/>
    <n v="4"/>
    <n v="3000"/>
    <x v="7"/>
  </r>
  <r>
    <n v="10"/>
    <n v="110"/>
    <s v="110-10"/>
    <x v="0"/>
    <n v="32"/>
    <x v="2"/>
    <d v="2026-01-02T00:00:00"/>
    <x v="3"/>
    <x v="3"/>
    <x v="0"/>
    <x v="0"/>
    <s v="L"/>
    <n v="1"/>
    <n v="650"/>
    <x v="8"/>
  </r>
  <r>
    <n v="11"/>
    <n v="111"/>
    <s v="111-11"/>
    <x v="0"/>
    <n v="23"/>
    <x v="0"/>
    <d v="2026-06-22T00:00:00"/>
    <x v="1"/>
    <x v="0"/>
    <x v="2"/>
    <x v="0"/>
    <s v="S"/>
    <n v="2"/>
    <n v="2500"/>
    <x v="9"/>
  </r>
  <r>
    <n v="12"/>
    <n v="112"/>
    <s v="112-12"/>
    <x v="0"/>
    <n v="45"/>
    <x v="1"/>
    <d v="2026-03-26T00:00:00"/>
    <x v="5"/>
    <x v="3"/>
    <x v="0"/>
    <x v="0"/>
    <s v="M"/>
    <n v="2"/>
    <n v="2100"/>
    <x v="6"/>
  </r>
  <r>
    <n v="13"/>
    <n v="113"/>
    <s v="113-13"/>
    <x v="0"/>
    <n v="90"/>
    <x v="1"/>
    <d v="2026-01-31T00:00:00"/>
    <x v="3"/>
    <x v="3"/>
    <x v="2"/>
    <x v="3"/>
    <s v="XL"/>
    <n v="3"/>
    <n v="1150"/>
    <x v="10"/>
  </r>
  <r>
    <n v="14"/>
    <n v="114"/>
    <s v="114-14"/>
    <x v="1"/>
    <n v="95"/>
    <x v="1"/>
    <d v="2026-07-06T00:00:00"/>
    <x v="6"/>
    <x v="0"/>
    <x v="0"/>
    <x v="1"/>
    <s v="M"/>
    <n v="4"/>
    <n v="1449"/>
    <x v="7"/>
  </r>
  <r>
    <n v="15"/>
    <n v="115"/>
    <s v="115-15"/>
    <x v="0"/>
    <n v="56"/>
    <x v="2"/>
    <d v="2026-05-01T00:00:00"/>
    <x v="4"/>
    <x v="3"/>
    <x v="2"/>
    <x v="1"/>
    <s v="M"/>
    <n v="2"/>
    <n v="1200"/>
    <x v="11"/>
  </r>
  <r>
    <n v="16"/>
    <n v="116"/>
    <s v="116-16"/>
    <x v="0"/>
    <n v="21"/>
    <x v="2"/>
    <d v="2026-03-18T00:00:00"/>
    <x v="5"/>
    <x v="3"/>
    <x v="6"/>
    <x v="1"/>
    <s v="L"/>
    <n v="1"/>
    <n v="379"/>
    <x v="12"/>
  </r>
  <r>
    <n v="17"/>
    <n v="117"/>
    <s v="117-17"/>
    <x v="0"/>
    <n v="12"/>
    <x v="2"/>
    <d v="2026-07-23T00:00:00"/>
    <x v="6"/>
    <x v="4"/>
    <x v="4"/>
    <x v="3"/>
    <s v="XL"/>
    <n v="4"/>
    <n v="1330"/>
    <x v="12"/>
  </r>
  <r>
    <n v="18"/>
    <n v="118"/>
    <s v="118-18"/>
    <x v="0"/>
    <n v="17"/>
    <x v="2"/>
    <d v="2026-03-13T00:00:00"/>
    <x v="5"/>
    <x v="0"/>
    <x v="5"/>
    <x v="1"/>
    <s v="XS"/>
    <n v="3"/>
    <n v="4200"/>
    <x v="0"/>
  </r>
  <r>
    <n v="19"/>
    <n v="119"/>
    <s v="119-19"/>
    <x v="1"/>
    <n v="18"/>
    <x v="2"/>
    <d v="2026-06-21T00:00:00"/>
    <x v="1"/>
    <x v="0"/>
    <x v="0"/>
    <x v="1"/>
    <s v="XXL"/>
    <n v="5"/>
    <n v="5630"/>
    <x v="5"/>
  </r>
  <r>
    <n v="20"/>
    <n v="120"/>
    <s v="120-20"/>
    <x v="0"/>
    <n v="1"/>
    <x v="2"/>
    <d v="2026-07-20T00:00:00"/>
    <x v="6"/>
    <x v="3"/>
    <x v="2"/>
    <x v="2"/>
    <s v="M"/>
    <n v="3"/>
    <n v="2100"/>
    <x v="4"/>
  </r>
  <r>
    <n v="21"/>
    <n v="121"/>
    <s v="121-21"/>
    <x v="0"/>
    <n v="2"/>
    <x v="0"/>
    <d v="2026-03-29T00:00:00"/>
    <x v="5"/>
    <x v="0"/>
    <x v="6"/>
    <x v="1"/>
    <s v="3XL"/>
    <n v="4"/>
    <n v="1400"/>
    <x v="13"/>
  </r>
  <r>
    <n v="22"/>
    <n v="122"/>
    <s v="122-22"/>
    <x v="1"/>
    <n v="42"/>
    <x v="1"/>
    <d v="2026-06-21T00:00:00"/>
    <x v="1"/>
    <x v="3"/>
    <x v="0"/>
    <x v="1"/>
    <s v="XXL"/>
    <n v="5"/>
    <n v="1700"/>
    <x v="14"/>
  </r>
  <r>
    <n v="23"/>
    <n v="123"/>
    <s v="123-23"/>
    <x v="0"/>
    <n v="72"/>
    <x v="2"/>
    <d v="2026-07-31T00:00:00"/>
    <x v="6"/>
    <x v="0"/>
    <x v="0"/>
    <x v="2"/>
    <s v="3XL"/>
    <n v="2"/>
    <n v="2300"/>
    <x v="15"/>
  </r>
  <r>
    <n v="24"/>
    <n v="124"/>
    <s v="124-24"/>
    <x v="1"/>
    <n v="25"/>
    <x v="2"/>
    <d v="2026-08-26T00:00:00"/>
    <x v="2"/>
    <x v="3"/>
    <x v="2"/>
    <x v="1"/>
    <s v="M"/>
    <n v="1"/>
    <n v="789"/>
    <x v="13"/>
  </r>
  <r>
    <n v="25"/>
    <n v="125"/>
    <s v="125-25"/>
    <x v="0"/>
    <n v="28"/>
    <x v="2"/>
    <d v="2026-06-28T00:00:00"/>
    <x v="1"/>
    <x v="0"/>
    <x v="4"/>
    <x v="2"/>
    <s v="S"/>
    <n v="1"/>
    <n v="263"/>
    <x v="0"/>
  </r>
  <r>
    <n v="26"/>
    <n v="126"/>
    <s v="126-26"/>
    <x v="0"/>
    <n v="5"/>
    <x v="2"/>
    <d v="2026-05-11T00:00:00"/>
    <x v="4"/>
    <x v="3"/>
    <x v="3"/>
    <x v="2"/>
    <s v="XL"/>
    <n v="1"/>
    <n v="321"/>
    <x v="16"/>
  </r>
  <r>
    <n v="27"/>
    <n v="127"/>
    <s v="127-27"/>
    <x v="0"/>
    <n v="26"/>
    <x v="0"/>
    <d v="2026-03-13T00:00:00"/>
    <x v="5"/>
    <x v="0"/>
    <x v="0"/>
    <x v="3"/>
    <s v="XXL"/>
    <n v="4"/>
    <n v="1890"/>
    <x v="4"/>
  </r>
  <r>
    <n v="28"/>
    <n v="128"/>
    <s v="128-28"/>
    <x v="1"/>
    <n v="41"/>
    <x v="0"/>
    <d v="2026-02-22T00:00:00"/>
    <x v="0"/>
    <x v="3"/>
    <x v="6"/>
    <x v="0"/>
    <s v="M"/>
    <n v="4"/>
    <n v="780"/>
    <x v="4"/>
  </r>
  <r>
    <n v="29"/>
    <n v="129"/>
    <s v="129-29"/>
    <x v="1"/>
    <n v="36"/>
    <x v="2"/>
    <d v="2026-04-14T00:00:00"/>
    <x v="7"/>
    <x v="0"/>
    <x v="2"/>
    <x v="3"/>
    <s v="L"/>
    <n v="2"/>
    <n v="565"/>
    <x v="8"/>
  </r>
  <r>
    <n v="30"/>
    <n v="130"/>
    <s v="130-30"/>
    <x v="0"/>
    <n v="5"/>
    <x v="1"/>
    <d v="2026-08-24T00:00:00"/>
    <x v="2"/>
    <x v="3"/>
    <x v="4"/>
    <x v="1"/>
    <s v="S"/>
    <n v="2"/>
    <n v="1700"/>
    <x v="6"/>
  </r>
  <r>
    <n v="31"/>
    <n v="131"/>
    <s v="131-31"/>
    <x v="1"/>
    <n v="54"/>
    <x v="1"/>
    <d v="2026-02-11T00:00:00"/>
    <x v="0"/>
    <x v="3"/>
    <x v="4"/>
    <x v="1"/>
    <s v="M"/>
    <n v="1"/>
    <n v="2300"/>
    <x v="17"/>
  </r>
  <r>
    <n v="32"/>
    <n v="132"/>
    <s v="132-32"/>
    <x v="0"/>
    <n v="78"/>
    <x v="0"/>
    <d v="2026-01-05T00:00:00"/>
    <x v="3"/>
    <x v="2"/>
    <x v="3"/>
    <x v="1"/>
    <s v="S"/>
    <n v="1"/>
    <n v="789"/>
    <x v="18"/>
  </r>
  <r>
    <n v="33"/>
    <n v="133"/>
    <s v="133-33"/>
    <x v="1"/>
    <n v="40"/>
    <x v="0"/>
    <d v="2026-03-09T00:00:00"/>
    <x v="5"/>
    <x v="0"/>
    <x v="3"/>
    <x v="0"/>
    <s v="XL"/>
    <n v="1"/>
    <n v="263"/>
    <x v="19"/>
  </r>
  <r>
    <n v="34"/>
    <n v="134"/>
    <s v="134-34"/>
    <x v="1"/>
    <n v="30"/>
    <x v="0"/>
    <d v="2026-04-27T00:00:00"/>
    <x v="7"/>
    <x v="1"/>
    <x v="4"/>
    <x v="3"/>
    <s v="M"/>
    <n v="1"/>
    <n v="321"/>
    <x v="12"/>
  </r>
  <r>
    <n v="35"/>
    <n v="135"/>
    <s v="135-35"/>
    <x v="0"/>
    <n v="38"/>
    <x v="1"/>
    <d v="2026-08-29T00:00:00"/>
    <x v="2"/>
    <x v="0"/>
    <x v="0"/>
    <x v="2"/>
    <s v="S"/>
    <n v="1"/>
    <n v="1890"/>
    <x v="9"/>
  </r>
  <r>
    <n v="36"/>
    <n v="136"/>
    <s v="136-36"/>
    <x v="0"/>
    <n v="88"/>
    <x v="2"/>
    <d v="2026-01-11T00:00:00"/>
    <x v="3"/>
    <x v="4"/>
    <x v="3"/>
    <x v="3"/>
    <s v="XXL"/>
    <n v="2"/>
    <n v="780"/>
    <x v="12"/>
  </r>
  <r>
    <n v="37"/>
    <n v="137"/>
    <s v="137-37"/>
    <x v="1"/>
    <n v="18"/>
    <x v="0"/>
    <d v="2026-03-20T00:00:00"/>
    <x v="5"/>
    <x v="2"/>
    <x v="2"/>
    <x v="0"/>
    <s v="S"/>
    <n v="3"/>
    <n v="565"/>
    <x v="4"/>
  </r>
  <r>
    <n v="38"/>
    <n v="138"/>
    <s v="138-38"/>
    <x v="0"/>
    <n v="34"/>
    <x v="0"/>
    <d v="2026-04-09T00:00:00"/>
    <x v="7"/>
    <x v="0"/>
    <x v="2"/>
    <x v="2"/>
    <s v="L"/>
    <n v="2"/>
    <n v="2500"/>
    <x v="0"/>
  </r>
  <r>
    <n v="39"/>
    <n v="139"/>
    <s v="139-39"/>
    <x v="0"/>
    <n v="44"/>
    <x v="2"/>
    <d v="2026-02-27T00:00:00"/>
    <x v="0"/>
    <x v="3"/>
    <x v="4"/>
    <x v="3"/>
    <s v="XXL"/>
    <n v="1"/>
    <n v="2100"/>
    <x v="13"/>
  </r>
  <r>
    <n v="40"/>
    <n v="140"/>
    <s v="140-40"/>
    <x v="1"/>
    <n v="10"/>
    <x v="2"/>
    <d v="2026-05-15T00:00:00"/>
    <x v="4"/>
    <x v="3"/>
    <x v="3"/>
    <x v="2"/>
    <s v="XL"/>
    <n v="5"/>
    <n v="1150"/>
    <x v="13"/>
  </r>
  <r>
    <n v="41"/>
    <n v="141"/>
    <s v="141-41"/>
    <x v="0"/>
    <n v="20"/>
    <x v="2"/>
    <d v="2026-07-22T00:00:00"/>
    <x v="6"/>
    <x v="1"/>
    <x v="2"/>
    <x v="0"/>
    <s v="M"/>
    <n v="1"/>
    <n v="1449"/>
    <x v="11"/>
  </r>
  <r>
    <n v="42"/>
    <n v="142"/>
    <s v="142-42"/>
    <x v="0"/>
    <n v="29"/>
    <x v="1"/>
    <d v="2026-01-01T00:00:00"/>
    <x v="3"/>
    <x v="0"/>
    <x v="2"/>
    <x v="0"/>
    <s v="XXL"/>
    <n v="1"/>
    <n v="1200"/>
    <x v="8"/>
  </r>
  <r>
    <n v="43"/>
    <n v="143"/>
    <s v="143-43"/>
    <x v="0"/>
    <n v="50"/>
    <x v="1"/>
    <d v="2026-04-30T00:00:00"/>
    <x v="7"/>
    <x v="4"/>
    <x v="4"/>
    <x v="1"/>
    <s v="S"/>
    <n v="2"/>
    <n v="379"/>
    <x v="18"/>
  </r>
  <r>
    <n v="44"/>
    <n v="144"/>
    <s v="144-44"/>
    <x v="1"/>
    <n v="55"/>
    <x v="0"/>
    <d v="2026-04-01T00:00:00"/>
    <x v="7"/>
    <x v="0"/>
    <x v="4"/>
    <x v="0"/>
    <s v="S"/>
    <n v="3"/>
    <n v="1330"/>
    <x v="16"/>
  </r>
  <r>
    <n v="45"/>
    <n v="145"/>
    <s v="145-45"/>
    <x v="1"/>
    <n v="46"/>
    <x v="2"/>
    <d v="2026-01-16T00:00:00"/>
    <x v="3"/>
    <x v="0"/>
    <x v="3"/>
    <x v="2"/>
    <s v="M"/>
    <n v="1"/>
    <n v="4200"/>
    <x v="9"/>
  </r>
  <r>
    <n v="46"/>
    <n v="146"/>
    <s v="146-46"/>
    <x v="0"/>
    <n v="13"/>
    <x v="0"/>
    <d v="2026-05-20T00:00:00"/>
    <x v="4"/>
    <x v="0"/>
    <x v="4"/>
    <x v="3"/>
    <s v="S"/>
    <n v="1"/>
    <n v="5630"/>
    <x v="11"/>
  </r>
  <r>
    <n v="47"/>
    <n v="147"/>
    <s v="147-47"/>
    <x v="0"/>
    <n v="31"/>
    <x v="0"/>
    <d v="2026-06-22T00:00:00"/>
    <x v="1"/>
    <x v="4"/>
    <x v="2"/>
    <x v="1"/>
    <s v="M"/>
    <n v="5"/>
    <n v="4970"/>
    <x v="12"/>
  </r>
  <r>
    <n v="48"/>
    <n v="148"/>
    <s v="148-48"/>
    <x v="1"/>
    <n v="47"/>
    <x v="2"/>
    <d v="2026-04-16T00:00:00"/>
    <x v="7"/>
    <x v="3"/>
    <x v="3"/>
    <x v="0"/>
    <s v="M"/>
    <n v="2"/>
    <n v="650"/>
    <x v="0"/>
  </r>
  <r>
    <n v="49"/>
    <n v="149"/>
    <s v="149-49"/>
    <x v="1"/>
    <n v="22"/>
    <x v="0"/>
    <d v="2026-03-21T00:00:00"/>
    <x v="5"/>
    <x v="2"/>
    <x v="2"/>
    <x v="2"/>
    <s v="L"/>
    <n v="3"/>
    <n v="1650"/>
    <x v="13"/>
  </r>
  <r>
    <n v="50"/>
    <n v="150"/>
    <s v="150-50"/>
    <x v="1"/>
    <n v="42"/>
    <x v="2"/>
    <d v="2026-02-06T00:00:00"/>
    <x v="0"/>
    <x v="0"/>
    <x v="4"/>
    <x v="2"/>
    <s v="M"/>
    <n v="4"/>
    <n v="1340"/>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827C7-0BF4-49C1-883E-E8FA744EF6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0BFB2-43F6-45D6-B5E7-D0AE842747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2" firstHeaderRow="0" firstDataRow="1" firstDataCol="1"/>
  <pivotFields count="15">
    <pivotField showAll="0"/>
    <pivotField dataField="1" showAll="0"/>
    <pivotField showAll="0"/>
    <pivotField showAll="0"/>
    <pivotField showAll="0"/>
    <pivotField showAll="0"/>
    <pivotField numFmtId="14" showAll="0"/>
    <pivotField axis="axisRow" showAll="0">
      <items count="9">
        <item x="3"/>
        <item x="0"/>
        <item x="5"/>
        <item x="7"/>
        <item x="4"/>
        <item x="1"/>
        <item x="6"/>
        <item x="2"/>
        <item t="default"/>
      </items>
    </pivotField>
    <pivotField showAll="0"/>
    <pivotField showAll="0">
      <items count="8">
        <item x="1"/>
        <item x="2"/>
        <item x="3"/>
        <item x="4"/>
        <item x="0"/>
        <item x="6"/>
        <item x="5"/>
        <item t="default"/>
      </items>
    </pivotField>
    <pivotField showAll="0">
      <items count="5">
        <item x="0"/>
        <item x="1"/>
        <item x="3"/>
        <item x="2"/>
        <item t="default"/>
      </items>
    </pivotField>
    <pivotField showAll="0"/>
    <pivotField showAll="0"/>
    <pivotField dataField="1" showAll="0"/>
    <pivotField showAll="0"/>
  </pivotFields>
  <rowFields count="1">
    <field x="7"/>
  </rowFields>
  <rowItems count="9">
    <i>
      <x/>
    </i>
    <i>
      <x v="1"/>
    </i>
    <i>
      <x v="2"/>
    </i>
    <i>
      <x v="3"/>
    </i>
    <i>
      <x v="4"/>
    </i>
    <i>
      <x v="5"/>
    </i>
    <i>
      <x v="6"/>
    </i>
    <i>
      <x v="7"/>
    </i>
    <i t="grand">
      <x/>
    </i>
  </rowItems>
  <colFields count="1">
    <field x="-2"/>
  </colFields>
  <colItems count="2">
    <i>
      <x/>
    </i>
    <i i="1">
      <x v="1"/>
    </i>
  </colItems>
  <dataFields count="2">
    <dataField name="Sum of Amount" fld="13" baseField="0" baseItem="0"/>
    <dataField name="Count of Order ID" fld="1" subtotal="count"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198C27-D8A6-48A3-B866-56FB99B9C5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5">
    <pivotField showAll="0"/>
    <pivotField showAll="0"/>
    <pivotField showAll="0"/>
    <pivotField axis="axisRow" showAll="0">
      <items count="3">
        <item x="1"/>
        <item x="0"/>
        <item t="default"/>
      </items>
    </pivotField>
    <pivotField showAll="0"/>
    <pivotField showAll="0"/>
    <pivotField numFmtId="14" showAll="0"/>
    <pivotField showAll="0">
      <items count="9">
        <item x="3"/>
        <item x="0"/>
        <item x="5"/>
        <item x="7"/>
        <item x="4"/>
        <item x="1"/>
        <item x="6"/>
        <item x="2"/>
        <item t="default"/>
      </items>
    </pivotField>
    <pivotField showAll="0"/>
    <pivotField showAll="0">
      <items count="8">
        <item x="1"/>
        <item x="2"/>
        <item x="3"/>
        <item x="4"/>
        <item x="0"/>
        <item x="6"/>
        <item x="5"/>
        <item t="default"/>
      </items>
    </pivotField>
    <pivotField showAll="0">
      <items count="5">
        <item x="0"/>
        <item x="1"/>
        <item x="3"/>
        <item x="2"/>
        <item t="default"/>
      </items>
    </pivotField>
    <pivotField showAll="0"/>
    <pivotField showAll="0"/>
    <pivotField dataField="1" showAll="0"/>
    <pivotField showAll="0"/>
  </pivotFields>
  <rowFields count="1">
    <field x="3"/>
  </rowFields>
  <rowItems count="3">
    <i>
      <x/>
    </i>
    <i>
      <x v="1"/>
    </i>
    <i t="grand">
      <x/>
    </i>
  </rowItems>
  <colItems count="1">
    <i/>
  </colItems>
  <dataFields count="1">
    <dataField name="Sum of Amount" fld="13"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2" format="5">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674FF-6CAC-4E24-B09C-8163E3D9643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15">
    <pivotField showAll="0"/>
    <pivotField dataField="1" showAll="0"/>
    <pivotField showAll="0"/>
    <pivotField showAll="0"/>
    <pivotField showAll="0"/>
    <pivotField showAll="0"/>
    <pivotField numFmtId="14" showAll="0"/>
    <pivotField showAll="0">
      <items count="9">
        <item x="3"/>
        <item x="0"/>
        <item x="5"/>
        <item x="7"/>
        <item x="4"/>
        <item x="1"/>
        <item x="6"/>
        <item x="2"/>
        <item t="default"/>
      </items>
    </pivotField>
    <pivotField axis="axisRow" showAll="0">
      <items count="6">
        <item x="0"/>
        <item x="3"/>
        <item x="1"/>
        <item x="2"/>
        <item x="4"/>
        <item t="default"/>
      </items>
    </pivotField>
    <pivotField showAll="0">
      <items count="8">
        <item x="1"/>
        <item x="2"/>
        <item x="3"/>
        <item x="4"/>
        <item x="0"/>
        <item x="6"/>
        <item x="5"/>
        <item t="default"/>
      </items>
    </pivotField>
    <pivotField showAll="0">
      <items count="5">
        <item x="0"/>
        <item x="1"/>
        <item x="3"/>
        <item x="2"/>
        <item t="default"/>
      </items>
    </pivotField>
    <pivotField showAll="0"/>
    <pivotField showAll="0"/>
    <pivotField showAll="0"/>
    <pivotField showAll="0"/>
  </pivotFields>
  <rowFields count="1">
    <field x="8"/>
  </rowFields>
  <rowItems count="5">
    <i>
      <x/>
    </i>
    <i>
      <x v="1"/>
    </i>
    <i>
      <x v="2"/>
    </i>
    <i>
      <x v="3"/>
    </i>
    <i>
      <x v="4"/>
    </i>
  </rowItems>
  <colItems count="1">
    <i/>
  </colItems>
  <dataFields count="1">
    <dataField name="Sum of Order ID" fld="1"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8" count="1" selected="0">
            <x v="0"/>
          </reference>
        </references>
      </pivotArea>
    </chartFormat>
    <chartFormat chart="2" format="11">
      <pivotArea type="data" outline="0" fieldPosition="0">
        <references count="2">
          <reference field="4294967294" count="1" selected="0">
            <x v="0"/>
          </reference>
          <reference field="8" count="1" selected="0">
            <x v="1"/>
          </reference>
        </references>
      </pivotArea>
    </chartFormat>
    <chartFormat chart="2" format="12">
      <pivotArea type="data" outline="0" fieldPosition="0">
        <references count="2">
          <reference field="4294967294" count="1" selected="0">
            <x v="0"/>
          </reference>
          <reference field="8" count="1" selected="0">
            <x v="2"/>
          </reference>
        </references>
      </pivotArea>
    </chartFormat>
    <chartFormat chart="2" format="13">
      <pivotArea type="data" outline="0" fieldPosition="0">
        <references count="2">
          <reference field="4294967294" count="1" selected="0">
            <x v="0"/>
          </reference>
          <reference field="8" count="1" selected="0">
            <x v="3"/>
          </reference>
        </references>
      </pivotArea>
    </chartFormat>
    <chartFormat chart="2" format="14">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2" format="15">
      <pivotArea type="data" outline="0" fieldPosition="0">
        <references count="1">
          <reference field="4294967294" count="1" selected="0">
            <x v="0"/>
          </reference>
        </references>
      </pivotArea>
    </chartFormat>
    <chartFormat chart="0"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72B8C7-D191-44C7-88E4-BF52FE5B6F7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5">
    <pivotField showAll="0"/>
    <pivotField showAll="0"/>
    <pivotField showAll="0"/>
    <pivotField showAll="0"/>
    <pivotField showAll="0"/>
    <pivotField showAll="0"/>
    <pivotField numFmtId="14" showAll="0"/>
    <pivotField showAll="0">
      <items count="9">
        <item x="3"/>
        <item x="0"/>
        <item x="5"/>
        <item x="7"/>
        <item x="4"/>
        <item x="1"/>
        <item x="6"/>
        <item x="2"/>
        <item t="default"/>
      </items>
    </pivotField>
    <pivotField showAll="0"/>
    <pivotField showAll="0">
      <items count="8">
        <item x="1"/>
        <item x="2"/>
        <item x="3"/>
        <item x="4"/>
        <item x="0"/>
        <item x="6"/>
        <item x="5"/>
        <item t="default"/>
      </items>
    </pivotField>
    <pivotField showAll="0">
      <items count="5">
        <item x="0"/>
        <item x="1"/>
        <item x="3"/>
        <item x="2"/>
        <item t="default"/>
      </items>
    </pivotField>
    <pivotField showAll="0"/>
    <pivotField showAll="0"/>
    <pivotField dataField="1" showAll="0"/>
    <pivotField axis="axisRow" showAll="0" measureFilter="1" sortType="descending">
      <items count="21">
        <item x="14"/>
        <item x="2"/>
        <item x="12"/>
        <item x="18"/>
        <item x="13"/>
        <item x="8"/>
        <item x="11"/>
        <item x="19"/>
        <item x="10"/>
        <item x="7"/>
        <item x="3"/>
        <item x="6"/>
        <item x="9"/>
        <item x="16"/>
        <item x="4"/>
        <item x="15"/>
        <item x="17"/>
        <item x="0"/>
        <item x="5"/>
        <item x="1"/>
        <item t="default"/>
      </items>
      <autoSortScope>
        <pivotArea dataOnly="0" outline="0" fieldPosition="0">
          <references count="1">
            <reference field="4294967294" count="1" selected="0">
              <x v="0"/>
            </reference>
          </references>
        </pivotArea>
      </autoSortScope>
    </pivotField>
  </pivotFields>
  <rowFields count="1">
    <field x="14"/>
  </rowFields>
  <rowItems count="5">
    <i>
      <x v="12"/>
    </i>
    <i>
      <x v="17"/>
    </i>
    <i>
      <x v="6"/>
    </i>
    <i>
      <x v="2"/>
    </i>
    <i>
      <x v="18"/>
    </i>
  </rowItems>
  <colItems count="1">
    <i/>
  </colItems>
  <dataFields count="1">
    <dataField name="Sum of Amount" fld="1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44960-6C30-4B29-9F09-23B9877B1B9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C7" firstHeaderRow="1" firstDataRow="2" firstDataCol="1"/>
  <pivotFields count="15">
    <pivotField showAll="0"/>
    <pivotField dataField="1" showAll="0"/>
    <pivotField showAll="0"/>
    <pivotField axis="axisCol" showAll="0">
      <items count="3">
        <item x="1"/>
        <item x="0"/>
        <item t="default"/>
      </items>
    </pivotField>
    <pivotField showAll="0"/>
    <pivotField axis="axisRow" showAll="0">
      <items count="4">
        <item x="2"/>
        <item x="1"/>
        <item x="0"/>
        <item t="default"/>
      </items>
    </pivotField>
    <pivotField numFmtId="14" showAll="0"/>
    <pivotField showAll="0">
      <items count="9">
        <item x="3"/>
        <item x="0"/>
        <item x="5"/>
        <item x="7"/>
        <item x="4"/>
        <item x="1"/>
        <item x="6"/>
        <item x="2"/>
        <item t="default"/>
      </items>
    </pivotField>
    <pivotField showAll="0"/>
    <pivotField showAll="0">
      <items count="8">
        <item x="1"/>
        <item x="2"/>
        <item x="3"/>
        <item x="4"/>
        <item x="0"/>
        <item x="6"/>
        <item x="5"/>
        <item t="default"/>
      </items>
    </pivotField>
    <pivotField showAll="0">
      <items count="5">
        <item x="0"/>
        <item x="1"/>
        <item x="3"/>
        <item x="2"/>
        <item t="default"/>
      </items>
    </pivotField>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Sum of Order ID" fld="1" showDataAs="percentOfTotal" baseField="0" baseItem="0" numFmtId="1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3">
          <reference field="4294967294" count="1" selected="0">
            <x v="0"/>
          </reference>
          <reference field="3" count="1" selected="0">
            <x v="1"/>
          </reference>
          <reference field="5" count="1" selected="0">
            <x v="0"/>
          </reference>
        </references>
      </pivotArea>
    </chartFormat>
    <chartFormat chart="15" format="18" series="1">
      <pivotArea type="data" outline="0" fieldPosition="0">
        <references count="2">
          <reference field="4294967294" count="1" selected="0">
            <x v="0"/>
          </reference>
          <reference field="3" count="1" selected="0">
            <x v="0"/>
          </reference>
        </references>
      </pivotArea>
    </chartFormat>
    <chartFormat chart="15" format="21" series="1">
      <pivotArea type="data" outline="0" fieldPosition="0">
        <references count="2">
          <reference field="4294967294" count="1" selected="0">
            <x v="0"/>
          </reference>
          <reference field="3" count="1" selected="0">
            <x v="1"/>
          </reference>
        </references>
      </pivotArea>
    </chartFormat>
    <chartFormat chart="15" format="26">
      <pivotArea type="data" outline="0" fieldPosition="0">
        <references count="3">
          <reference field="4294967294" count="1" selected="0">
            <x v="0"/>
          </reference>
          <reference field="3" count="1" selected="0">
            <x v="1"/>
          </reference>
          <reference field="5" count="1" selected="0">
            <x v="0"/>
          </reference>
        </references>
      </pivotArea>
    </chartFormat>
    <chartFormat chart="0" format="9" series="1">
      <pivotArea type="data" outline="0" fieldPosition="0">
        <references count="1">
          <reference field="4294967294" count="1" selected="0">
            <x v="0"/>
          </reference>
        </references>
      </pivotArea>
    </chartFormat>
    <chartFormat chart="15"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67E01D-0A38-40F7-A268-C04850123F9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15">
    <pivotField showAll="0"/>
    <pivotField dataField="1" showAll="0"/>
    <pivotField showAll="0"/>
    <pivotField showAll="0"/>
    <pivotField showAll="0"/>
    <pivotField showAll="0"/>
    <pivotField numFmtId="14" showAll="0"/>
    <pivotField showAll="0">
      <items count="9">
        <item x="3"/>
        <item x="0"/>
        <item x="5"/>
        <item x="7"/>
        <item x="4"/>
        <item x="1"/>
        <item x="6"/>
        <item x="2"/>
        <item t="default"/>
      </items>
    </pivotField>
    <pivotField showAll="0"/>
    <pivotField axis="axisRow" showAll="0">
      <items count="8">
        <item x="2"/>
        <item x="3"/>
        <item x="4"/>
        <item x="0"/>
        <item x="6"/>
        <item x="1"/>
        <item x="5"/>
        <item t="default"/>
      </items>
    </pivotField>
    <pivotField showAll="0">
      <items count="5">
        <item x="0"/>
        <item x="1"/>
        <item x="3"/>
        <item x="2"/>
        <item t="default"/>
      </items>
    </pivotField>
    <pivotField showAll="0"/>
    <pivotField showAll="0"/>
    <pivotField showAll="0"/>
    <pivotField showAll="0"/>
  </pivotFields>
  <rowFields count="1">
    <field x="9"/>
  </rowFields>
  <rowItems count="7">
    <i>
      <x/>
    </i>
    <i>
      <x v="1"/>
    </i>
    <i>
      <x v="2"/>
    </i>
    <i>
      <x v="3"/>
    </i>
    <i>
      <x v="4"/>
    </i>
    <i>
      <x v="5"/>
    </i>
    <i>
      <x v="6"/>
    </i>
  </rowItems>
  <colItems count="1">
    <i/>
  </colItems>
  <dataFields count="1">
    <dataField name="Sum of Order ID" fld="1"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 chart="3" format="18">
      <pivotArea type="data" outline="0" fieldPosition="0">
        <references count="1">
          <reference field="4294967294" count="1" selected="0">
            <x v="0"/>
          </reference>
        </references>
      </pivotArea>
    </chartFormat>
    <chartFormat chart="0" format="6">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9" count="1" selected="0">
            <x v="5"/>
          </reference>
        </references>
      </pivotArea>
    </chartFormat>
    <chartFormat chart="0" format="8">
      <pivotArea type="data" outline="0" fieldPosition="0">
        <references count="2">
          <reference field="4294967294" count="1" selected="0">
            <x v="0"/>
          </reference>
          <reference field="9" count="1" selected="0">
            <x v="6"/>
          </reference>
        </references>
      </pivotArea>
    </chartFormat>
    <chartFormat chart="3" format="19">
      <pivotArea type="data" outline="0" fieldPosition="0">
        <references count="2">
          <reference field="4294967294" count="1" selected="0">
            <x v="0"/>
          </reference>
          <reference field="9" count="1" selected="0">
            <x v="5"/>
          </reference>
        </references>
      </pivotArea>
    </chartFormat>
    <chartFormat chart="3" format="20">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8A5CEAB-5498-4FDA-9219-68E1DA12D068}" sourceName="Month">
  <pivotTables>
    <pivotTable tabId="4" name="PivotTable3"/>
    <pivotTable tabId="10" name="PivotTable1"/>
    <pivotTable tabId="12" name="PivotTable2"/>
    <pivotTable tabId="7" name="PivotTable5"/>
    <pivotTable tabId="8" name="PivotTable1"/>
    <pivotTable tabId="9" name="PivotTable1"/>
  </pivotTables>
  <data>
    <tabular pivotCacheId="504894640">
      <items count="8">
        <i x="3" s="1"/>
        <i x="0" s="1"/>
        <i x="5" s="1"/>
        <i x="7" s="1"/>
        <i x="4" s="1"/>
        <i x="1"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A0C2A41-9CBB-4C6D-B255-179EAEFF2B85}" sourceName="Channel">
  <pivotTables>
    <pivotTable tabId="4" name="PivotTable3"/>
    <pivotTable tabId="10" name="PivotTable1"/>
    <pivotTable tabId="12" name="PivotTable2"/>
    <pivotTable tabId="7" name="PivotTable5"/>
    <pivotTable tabId="8" name="PivotTable1"/>
    <pivotTable tabId="9" name="PivotTable1"/>
  </pivotTables>
  <data>
    <tabular pivotCacheId="504894640">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637462-5F21-42CF-B09F-57EA231EA035}" sourceName="Category">
  <pivotTables>
    <pivotTable tabId="4" name="PivotTable3"/>
    <pivotTable tabId="10" name="PivotTable1"/>
    <pivotTable tabId="12" name="PivotTable2"/>
    <pivotTable tabId="7" name="PivotTable5"/>
    <pivotTable tabId="8" name="PivotTable1"/>
    <pivotTable tabId="9" name="PivotTable1"/>
  </pivotTables>
  <data>
    <tabular pivotCacheId="504894640" showMissing="0">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C01EDAF-C1E3-47E1-9809-FD1F4E5AA631}" cache="Slicer_Month" caption="Month" rowHeight="247650"/>
  <slicer name="Channel" xr10:uid="{22974479-6CB3-4B5D-8C87-AC420878F483}" cache="Slicer_Channel" caption="Channel" startItem="4" rowHeight="247650"/>
  <slicer name="Category" xr10:uid="{0C8F7FC6-0B93-4938-817E-EF27A0C72E62}"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D4379-F600-49B0-BA46-7BDECF4F7349}">
  <sheetPr>
    <pageSetUpPr autoPageBreaks="0"/>
  </sheetPr>
  <dimension ref="A1:AG39"/>
  <sheetViews>
    <sheetView showGridLines="0" zoomScale="70" zoomScaleNormal="70" zoomScaleSheetLayoutView="86" zoomScalePageLayoutView="48" workbookViewId="0">
      <selection activeCell="L19" sqref="L19"/>
    </sheetView>
  </sheetViews>
  <sheetFormatPr defaultRowHeight="14.4" x14ac:dyDescent="0.3"/>
  <cols>
    <col min="4" max="4" width="11.21875" customWidth="1"/>
    <col min="26" max="26" width="4" customWidth="1"/>
    <col min="27" max="27" width="9.88671875" customWidth="1"/>
    <col min="30" max="30" width="26.21875" customWidth="1"/>
  </cols>
  <sheetData>
    <row r="1" spans="1:33" s="6" customFormat="1" ht="23.4" x14ac:dyDescent="0.3">
      <c r="A1" s="15"/>
      <c r="B1" s="16"/>
      <c r="C1" s="16"/>
      <c r="D1" s="16"/>
      <c r="E1" s="16"/>
      <c r="F1" s="16"/>
      <c r="G1" s="16"/>
      <c r="H1" s="16"/>
      <c r="I1" s="16"/>
      <c r="J1" s="16"/>
      <c r="K1" s="16"/>
      <c r="L1" s="16"/>
      <c r="M1" s="16"/>
      <c r="N1" s="16"/>
      <c r="O1" s="16"/>
      <c r="P1" s="16"/>
      <c r="Q1" s="16"/>
      <c r="R1" s="16"/>
      <c r="S1" s="16"/>
      <c r="T1" s="16"/>
      <c r="X1" s="10"/>
      <c r="Y1" s="10"/>
      <c r="Z1" s="10"/>
      <c r="AA1" s="10"/>
      <c r="AB1" s="10"/>
      <c r="AC1" s="10"/>
      <c r="AD1" s="10"/>
      <c r="AE1" s="7"/>
      <c r="AF1" s="7"/>
      <c r="AG1" s="7"/>
    </row>
    <row r="2" spans="1:33"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row>
    <row r="3" spans="1:33"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row>
    <row r="4" spans="1:33" ht="15.6"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12" t="s">
        <v>128</v>
      </c>
      <c r="AE4" s="7"/>
      <c r="AF4" s="7"/>
      <c r="AG4" s="7"/>
    </row>
    <row r="5" spans="1:33" ht="23.4" x14ac:dyDescent="0.45">
      <c r="A5" s="7"/>
      <c r="B5" s="7"/>
      <c r="C5" s="7"/>
      <c r="D5" s="7"/>
      <c r="E5" s="7"/>
      <c r="F5" s="7"/>
      <c r="G5" s="7"/>
      <c r="H5" s="7"/>
      <c r="I5" s="7"/>
      <c r="J5" s="7"/>
      <c r="K5" s="7"/>
      <c r="L5" s="7"/>
      <c r="M5" s="7"/>
      <c r="N5" s="7"/>
      <c r="O5" s="7"/>
      <c r="P5" s="7"/>
      <c r="Q5" s="7"/>
      <c r="R5" s="7"/>
      <c r="S5" s="7"/>
      <c r="T5" s="7"/>
      <c r="U5" s="7"/>
      <c r="V5" s="7"/>
      <c r="W5" s="7"/>
      <c r="X5" s="7"/>
      <c r="Y5" s="7"/>
      <c r="Z5" s="7"/>
      <c r="AA5" s="7"/>
      <c r="AB5" s="7"/>
      <c r="AC5" s="7"/>
      <c r="AD5" s="13">
        <f>GETPIVOTDATA("Sum of Amount",'Order vs Sales'!$A$3)</f>
        <v>85679</v>
      </c>
      <c r="AE5" s="7"/>
      <c r="AF5" s="7"/>
      <c r="AG5" s="7"/>
    </row>
    <row r="6" spans="1:33"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1:33"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row r="8" spans="1:33" ht="15.6"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11" t="s">
        <v>129</v>
      </c>
      <c r="AE8" s="7"/>
      <c r="AF8" s="7"/>
      <c r="AG8" s="7"/>
    </row>
    <row r="9" spans="1:33" ht="23.4"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14">
        <f>GETPIVOTDATA("Count of Order ID",'Order vs Sales'!$A$3)</f>
        <v>50</v>
      </c>
      <c r="AE9" s="7"/>
      <c r="AF9" s="7"/>
      <c r="AG9" s="7"/>
    </row>
    <row r="10" spans="1:33"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ht="15.6"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11" t="s">
        <v>130</v>
      </c>
      <c r="AE12" s="7"/>
      <c r="AF12" s="7"/>
      <c r="AG12" s="7"/>
    </row>
    <row r="13" spans="1:33" ht="23.4" x14ac:dyDescent="0.4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13">
        <f>GETPIVOTDATA("Qty",Sheet2!$A$3)</f>
        <v>121</v>
      </c>
      <c r="AE13" s="7"/>
      <c r="AF13" s="7"/>
      <c r="AG13" s="7"/>
    </row>
    <row r="14" spans="1:33"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3"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ht="15.6"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11" t="s">
        <v>131</v>
      </c>
      <c r="AE16" s="7"/>
      <c r="AF16" s="7"/>
      <c r="AG16" s="7"/>
    </row>
    <row r="17" spans="1:33" ht="23.4" x14ac:dyDescent="0.4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13">
        <f>AD5/AD9</f>
        <v>1713.58</v>
      </c>
      <c r="AE17" s="7"/>
      <c r="AF17" s="7"/>
      <c r="AG17" s="7"/>
    </row>
    <row r="18" spans="1:33"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1:33"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1:33"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row>
    <row r="22" spans="1:33"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row>
    <row r="23" spans="1:33"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row>
    <row r="24" spans="1:33"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row>
    <row r="25" spans="1:33"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spans="1:33"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1:33"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1:33"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spans="1:33"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1:33"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1:33"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1:33"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spans="1:33"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spans="1:33"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spans="1:33"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spans="1:33"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1:33"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1:33"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spans="1:33"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sheetData>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E5539-86A2-4D18-9C36-5917E8258B2C}">
  <dimension ref="A3:A4"/>
  <sheetViews>
    <sheetView workbookViewId="0">
      <selection activeCell="A3" sqref="A3"/>
    </sheetView>
  </sheetViews>
  <sheetFormatPr defaultRowHeight="14.4" x14ac:dyDescent="0.3"/>
  <cols>
    <col min="1" max="1" width="9.88671875" bestFit="1" customWidth="1"/>
  </cols>
  <sheetData>
    <row r="3" spans="1:1" x14ac:dyDescent="0.3">
      <c r="A3" t="s">
        <v>127</v>
      </c>
    </row>
    <row r="4" spans="1:1" x14ac:dyDescent="0.3">
      <c r="A4">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4B1C-2BFF-4B8E-A252-024128AD5334}">
  <dimension ref="A1:O51"/>
  <sheetViews>
    <sheetView zoomScale="106" workbookViewId="0">
      <selection activeCell="R13" sqref="R13"/>
    </sheetView>
  </sheetViews>
  <sheetFormatPr defaultRowHeight="14.4" x14ac:dyDescent="0.3"/>
  <cols>
    <col min="2" max="3" width="9.6640625" customWidth="1"/>
    <col min="4" max="4" width="8.6640625" customWidth="1"/>
    <col min="6" max="6" width="12.6640625" customWidth="1"/>
    <col min="7" max="7" width="16.6640625" customWidth="1"/>
    <col min="10" max="10" width="10.6640625" customWidth="1"/>
    <col min="11" max="11" width="12.6640625" customWidth="1"/>
    <col min="15" max="15" width="16.6640625" customWidth="1"/>
  </cols>
  <sheetData>
    <row r="1" spans="1:15" ht="16.2" customHeight="1" x14ac:dyDescent="0.3">
      <c r="A1" s="2" t="s">
        <v>0</v>
      </c>
      <c r="B1" s="2" t="s">
        <v>1</v>
      </c>
      <c r="C1" s="2" t="s">
        <v>2</v>
      </c>
      <c r="D1" s="2" t="s">
        <v>3</v>
      </c>
      <c r="E1" s="2" t="s">
        <v>4</v>
      </c>
      <c r="F1" s="3" t="s">
        <v>5</v>
      </c>
      <c r="G1" s="2" t="s">
        <v>6</v>
      </c>
      <c r="H1" s="3" t="s">
        <v>7</v>
      </c>
      <c r="I1" s="2" t="s">
        <v>8</v>
      </c>
      <c r="J1" s="2" t="s">
        <v>9</v>
      </c>
      <c r="K1" s="2" t="s">
        <v>10</v>
      </c>
      <c r="L1" s="2" t="s">
        <v>11</v>
      </c>
      <c r="M1" s="2" t="s">
        <v>12</v>
      </c>
      <c r="N1" s="2" t="s">
        <v>13</v>
      </c>
      <c r="O1" s="2" t="s">
        <v>14</v>
      </c>
    </row>
    <row r="2" spans="1:15" x14ac:dyDescent="0.3">
      <c r="A2">
        <v>1</v>
      </c>
      <c r="B2">
        <v>11</v>
      </c>
      <c r="C2" t="s">
        <v>15</v>
      </c>
      <c r="D2" t="s">
        <v>16</v>
      </c>
      <c r="E2">
        <v>44</v>
      </c>
      <c r="F2" t="str">
        <f>IF(E3&gt;=50,"Senior",IF(E3&gt;=30,"Adult","Teenager"))</f>
        <v>Adult</v>
      </c>
      <c r="G2" s="1">
        <v>46061</v>
      </c>
      <c r="H2" t="str">
        <f>TEXT(G2,"mmm")</f>
        <v>Feb</v>
      </c>
      <c r="I2" t="s">
        <v>17</v>
      </c>
      <c r="J2" t="s">
        <v>18</v>
      </c>
      <c r="K2" t="s">
        <v>19</v>
      </c>
      <c r="L2" t="s">
        <v>20</v>
      </c>
      <c r="M2">
        <v>1</v>
      </c>
      <c r="N2">
        <v>243</v>
      </c>
      <c r="O2" t="s">
        <v>21</v>
      </c>
    </row>
    <row r="3" spans="1:15" x14ac:dyDescent="0.3">
      <c r="A3">
        <v>2</v>
      </c>
      <c r="B3">
        <v>102</v>
      </c>
      <c r="C3" t="s">
        <v>22</v>
      </c>
      <c r="D3" t="s">
        <v>16</v>
      </c>
      <c r="E3">
        <v>34</v>
      </c>
      <c r="F3" t="str">
        <f t="shared" ref="F3:F51" si="0">IF(E4&gt;=50,"Senior",IF(E4&gt;=30,"Adult","Teenager"))</f>
        <v>Adult</v>
      </c>
      <c r="G3" s="1">
        <v>46062</v>
      </c>
      <c r="H3" t="str">
        <f t="shared" ref="H3:H51" si="1">TEXT(G3,"mmm")</f>
        <v>Feb</v>
      </c>
      <c r="I3" t="s">
        <v>23</v>
      </c>
      <c r="J3" t="s">
        <v>24</v>
      </c>
      <c r="K3" t="s">
        <v>25</v>
      </c>
      <c r="L3" t="s">
        <v>26</v>
      </c>
      <c r="M3">
        <v>5</v>
      </c>
      <c r="N3">
        <v>5999</v>
      </c>
      <c r="O3" t="s">
        <v>27</v>
      </c>
    </row>
    <row r="4" spans="1:15" x14ac:dyDescent="0.3">
      <c r="A4">
        <v>3</v>
      </c>
      <c r="B4">
        <v>103</v>
      </c>
      <c r="C4" t="s">
        <v>28</v>
      </c>
      <c r="D4" t="s">
        <v>16</v>
      </c>
      <c r="E4">
        <v>43</v>
      </c>
      <c r="F4" t="str">
        <f t="shared" si="0"/>
        <v>Senior</v>
      </c>
      <c r="G4" s="1">
        <v>46199</v>
      </c>
      <c r="H4" t="str">
        <f t="shared" si="1"/>
        <v>Jun</v>
      </c>
      <c r="I4" t="s">
        <v>17</v>
      </c>
      <c r="J4" t="s">
        <v>18</v>
      </c>
      <c r="K4" t="s">
        <v>25</v>
      </c>
      <c r="L4" t="s">
        <v>29</v>
      </c>
      <c r="M4">
        <v>2</v>
      </c>
      <c r="N4">
        <v>1200</v>
      </c>
      <c r="O4" t="s">
        <v>30</v>
      </c>
    </row>
    <row r="5" spans="1:15" x14ac:dyDescent="0.3">
      <c r="A5">
        <v>4</v>
      </c>
      <c r="B5">
        <v>104</v>
      </c>
      <c r="C5" t="s">
        <v>31</v>
      </c>
      <c r="D5" t="s">
        <v>16</v>
      </c>
      <c r="E5">
        <v>56</v>
      </c>
      <c r="F5" t="str">
        <f t="shared" si="0"/>
        <v>Senior</v>
      </c>
      <c r="G5" s="1">
        <v>46265</v>
      </c>
      <c r="H5" t="str">
        <f t="shared" si="1"/>
        <v>Aug</v>
      </c>
      <c r="I5" t="s">
        <v>17</v>
      </c>
      <c r="J5" t="s">
        <v>32</v>
      </c>
      <c r="K5" t="s">
        <v>25</v>
      </c>
      <c r="L5" t="s">
        <v>33</v>
      </c>
      <c r="M5">
        <v>1</v>
      </c>
      <c r="N5">
        <v>500</v>
      </c>
      <c r="O5" t="s">
        <v>34</v>
      </c>
    </row>
    <row r="6" spans="1:15" x14ac:dyDescent="0.3">
      <c r="A6">
        <v>5</v>
      </c>
      <c r="B6">
        <v>105</v>
      </c>
      <c r="C6" t="s">
        <v>35</v>
      </c>
      <c r="D6" t="s">
        <v>16</v>
      </c>
      <c r="E6">
        <v>76</v>
      </c>
      <c r="F6" t="str">
        <f t="shared" si="0"/>
        <v>Senior</v>
      </c>
      <c r="G6" s="1">
        <v>46199</v>
      </c>
      <c r="H6" t="str">
        <f t="shared" si="1"/>
        <v>Jun</v>
      </c>
      <c r="I6" t="s">
        <v>17</v>
      </c>
      <c r="J6" t="s">
        <v>18</v>
      </c>
      <c r="K6" t="s">
        <v>19</v>
      </c>
      <c r="L6" t="s">
        <v>20</v>
      </c>
      <c r="M6">
        <v>1</v>
      </c>
      <c r="N6">
        <v>499</v>
      </c>
      <c r="O6" t="s">
        <v>36</v>
      </c>
    </row>
    <row r="7" spans="1:15" x14ac:dyDescent="0.3">
      <c r="A7">
        <v>6</v>
      </c>
      <c r="B7">
        <v>106</v>
      </c>
      <c r="C7" t="s">
        <v>37</v>
      </c>
      <c r="D7" t="s">
        <v>38</v>
      </c>
      <c r="E7">
        <v>65</v>
      </c>
      <c r="F7" t="str">
        <f t="shared" si="0"/>
        <v>Adult</v>
      </c>
      <c r="G7" s="1">
        <v>46060</v>
      </c>
      <c r="H7" t="str">
        <f t="shared" si="1"/>
        <v>Feb</v>
      </c>
      <c r="I7" t="s">
        <v>17</v>
      </c>
      <c r="J7" t="s">
        <v>39</v>
      </c>
      <c r="K7" t="s">
        <v>40</v>
      </c>
      <c r="L7" t="s">
        <v>20</v>
      </c>
      <c r="M7">
        <v>2</v>
      </c>
      <c r="N7">
        <v>486</v>
      </c>
      <c r="O7" t="s">
        <v>21</v>
      </c>
    </row>
    <row r="8" spans="1:15" x14ac:dyDescent="0.3">
      <c r="A8">
        <v>7</v>
      </c>
      <c r="B8">
        <v>107</v>
      </c>
      <c r="C8" t="s">
        <v>41</v>
      </c>
      <c r="D8" t="s">
        <v>16</v>
      </c>
      <c r="E8">
        <v>44</v>
      </c>
      <c r="F8" t="str">
        <f t="shared" si="0"/>
        <v>Teenager</v>
      </c>
      <c r="G8" s="1">
        <v>46032</v>
      </c>
      <c r="H8" t="str">
        <f t="shared" si="1"/>
        <v>Jan</v>
      </c>
      <c r="I8" t="s">
        <v>42</v>
      </c>
      <c r="J8" t="s">
        <v>43</v>
      </c>
      <c r="K8" t="s">
        <v>19</v>
      </c>
      <c r="L8" t="s">
        <v>20</v>
      </c>
      <c r="M8">
        <v>3</v>
      </c>
      <c r="N8">
        <v>2000</v>
      </c>
      <c r="O8" t="s">
        <v>44</v>
      </c>
    </row>
    <row r="9" spans="1:15" x14ac:dyDescent="0.3">
      <c r="A9">
        <v>8</v>
      </c>
      <c r="B9">
        <v>108</v>
      </c>
      <c r="C9" t="s">
        <v>45</v>
      </c>
      <c r="D9" t="s">
        <v>16</v>
      </c>
      <c r="E9">
        <v>12</v>
      </c>
      <c r="F9" t="str">
        <f t="shared" si="0"/>
        <v>Teenager</v>
      </c>
      <c r="G9" s="1">
        <v>46060</v>
      </c>
      <c r="H9" t="str">
        <f t="shared" si="1"/>
        <v>Feb</v>
      </c>
      <c r="I9" t="s">
        <v>17</v>
      </c>
      <c r="J9" t="s">
        <v>46</v>
      </c>
      <c r="K9" t="s">
        <v>19</v>
      </c>
      <c r="L9" t="s">
        <v>33</v>
      </c>
      <c r="M9">
        <v>5</v>
      </c>
      <c r="N9">
        <v>1900</v>
      </c>
      <c r="O9" t="s">
        <v>47</v>
      </c>
    </row>
    <row r="10" spans="1:15" x14ac:dyDescent="0.3">
      <c r="A10">
        <v>9</v>
      </c>
      <c r="B10">
        <v>109</v>
      </c>
      <c r="C10" t="s">
        <v>48</v>
      </c>
      <c r="D10" t="s">
        <v>16</v>
      </c>
      <c r="E10">
        <v>21</v>
      </c>
      <c r="F10" t="str">
        <f t="shared" si="0"/>
        <v>Adult</v>
      </c>
      <c r="G10" s="1">
        <v>46145</v>
      </c>
      <c r="H10" t="str">
        <f t="shared" si="1"/>
        <v>May</v>
      </c>
      <c r="I10" t="s">
        <v>49</v>
      </c>
      <c r="J10" t="s">
        <v>32</v>
      </c>
      <c r="K10" t="s">
        <v>19</v>
      </c>
      <c r="L10" t="s">
        <v>50</v>
      </c>
      <c r="M10">
        <v>4</v>
      </c>
      <c r="N10">
        <v>3000</v>
      </c>
      <c r="O10" t="s">
        <v>51</v>
      </c>
    </row>
    <row r="11" spans="1:15" x14ac:dyDescent="0.3">
      <c r="A11">
        <v>10</v>
      </c>
      <c r="B11">
        <v>110</v>
      </c>
      <c r="C11" t="s">
        <v>52</v>
      </c>
      <c r="D11" t="s">
        <v>16</v>
      </c>
      <c r="E11">
        <v>32</v>
      </c>
      <c r="F11" t="str">
        <f t="shared" si="0"/>
        <v>Teenager</v>
      </c>
      <c r="G11" s="1">
        <v>46024</v>
      </c>
      <c r="H11" t="str">
        <f t="shared" si="1"/>
        <v>Jan</v>
      </c>
      <c r="I11" t="s">
        <v>49</v>
      </c>
      <c r="J11" t="s">
        <v>18</v>
      </c>
      <c r="K11" t="s">
        <v>19</v>
      </c>
      <c r="L11" t="s">
        <v>26</v>
      </c>
      <c r="M11">
        <v>1</v>
      </c>
      <c r="N11">
        <v>650</v>
      </c>
      <c r="O11" t="s">
        <v>53</v>
      </c>
    </row>
    <row r="12" spans="1:15" x14ac:dyDescent="0.3">
      <c r="A12">
        <v>11</v>
      </c>
      <c r="B12">
        <v>111</v>
      </c>
      <c r="C12" s="4" t="s">
        <v>54</v>
      </c>
      <c r="D12" t="s">
        <v>16</v>
      </c>
      <c r="E12">
        <v>23</v>
      </c>
      <c r="F12" t="str">
        <f t="shared" si="0"/>
        <v>Adult</v>
      </c>
      <c r="G12" s="1">
        <v>46195</v>
      </c>
      <c r="H12" t="str">
        <f t="shared" si="1"/>
        <v>Jun</v>
      </c>
      <c r="I12" t="s">
        <v>17</v>
      </c>
      <c r="J12" t="s">
        <v>32</v>
      </c>
      <c r="K12" t="s">
        <v>19</v>
      </c>
      <c r="L12" t="s">
        <v>29</v>
      </c>
      <c r="M12">
        <v>2</v>
      </c>
      <c r="N12">
        <v>2500</v>
      </c>
      <c r="O12" t="s">
        <v>55</v>
      </c>
    </row>
    <row r="13" spans="1:15" x14ac:dyDescent="0.3">
      <c r="A13">
        <v>12</v>
      </c>
      <c r="B13">
        <v>112</v>
      </c>
      <c r="C13" t="s">
        <v>56</v>
      </c>
      <c r="D13" t="s">
        <v>16</v>
      </c>
      <c r="E13">
        <v>45</v>
      </c>
      <c r="F13" t="str">
        <f t="shared" si="0"/>
        <v>Senior</v>
      </c>
      <c r="G13" s="1">
        <v>46107</v>
      </c>
      <c r="H13" t="str">
        <f t="shared" si="1"/>
        <v>Mar</v>
      </c>
      <c r="I13" t="s">
        <v>49</v>
      </c>
      <c r="J13" t="s">
        <v>18</v>
      </c>
      <c r="K13" t="s">
        <v>19</v>
      </c>
      <c r="L13" t="s">
        <v>33</v>
      </c>
      <c r="M13">
        <v>2</v>
      </c>
      <c r="N13">
        <v>2100</v>
      </c>
      <c r="O13" t="s">
        <v>47</v>
      </c>
    </row>
    <row r="14" spans="1:15" x14ac:dyDescent="0.3">
      <c r="A14">
        <v>13</v>
      </c>
      <c r="B14">
        <v>113</v>
      </c>
      <c r="C14" t="s">
        <v>57</v>
      </c>
      <c r="D14" t="s">
        <v>16</v>
      </c>
      <c r="E14">
        <v>90</v>
      </c>
      <c r="F14" t="str">
        <f t="shared" si="0"/>
        <v>Senior</v>
      </c>
      <c r="G14" s="1">
        <v>46053</v>
      </c>
      <c r="H14" t="str">
        <f t="shared" si="1"/>
        <v>Jan</v>
      </c>
      <c r="I14" t="s">
        <v>49</v>
      </c>
      <c r="J14" t="s">
        <v>32</v>
      </c>
      <c r="K14" t="s">
        <v>58</v>
      </c>
      <c r="L14" t="s">
        <v>50</v>
      </c>
      <c r="M14">
        <v>3</v>
      </c>
      <c r="N14">
        <v>1150</v>
      </c>
      <c r="O14" t="s">
        <v>59</v>
      </c>
    </row>
    <row r="15" spans="1:15" x14ac:dyDescent="0.3">
      <c r="A15">
        <v>14</v>
      </c>
      <c r="B15">
        <v>114</v>
      </c>
      <c r="C15" t="s">
        <v>60</v>
      </c>
      <c r="D15" t="s">
        <v>38</v>
      </c>
      <c r="E15">
        <v>95</v>
      </c>
      <c r="F15" t="str">
        <f t="shared" si="0"/>
        <v>Senior</v>
      </c>
      <c r="G15" s="1">
        <v>46209</v>
      </c>
      <c r="H15" t="str">
        <f t="shared" si="1"/>
        <v>Jul</v>
      </c>
      <c r="I15" t="s">
        <v>17</v>
      </c>
      <c r="J15" t="s">
        <v>18</v>
      </c>
      <c r="K15" t="s">
        <v>25</v>
      </c>
      <c r="L15" t="s">
        <v>33</v>
      </c>
      <c r="M15">
        <v>4</v>
      </c>
      <c r="N15">
        <v>1449</v>
      </c>
      <c r="O15" t="s">
        <v>51</v>
      </c>
    </row>
    <row r="16" spans="1:15" x14ac:dyDescent="0.3">
      <c r="A16">
        <v>15</v>
      </c>
      <c r="B16">
        <v>115</v>
      </c>
      <c r="C16" t="s">
        <v>61</v>
      </c>
      <c r="D16" t="s">
        <v>16</v>
      </c>
      <c r="E16">
        <v>56</v>
      </c>
      <c r="F16" t="str">
        <f t="shared" si="0"/>
        <v>Teenager</v>
      </c>
      <c r="G16" s="1">
        <v>46143</v>
      </c>
      <c r="H16" t="str">
        <f t="shared" si="1"/>
        <v>May</v>
      </c>
      <c r="I16" t="s">
        <v>49</v>
      </c>
      <c r="J16" t="s">
        <v>32</v>
      </c>
      <c r="K16" t="s">
        <v>25</v>
      </c>
      <c r="L16" t="s">
        <v>33</v>
      </c>
      <c r="M16">
        <v>2</v>
      </c>
      <c r="N16">
        <v>1200</v>
      </c>
      <c r="O16" t="s">
        <v>62</v>
      </c>
    </row>
    <row r="17" spans="1:15" x14ac:dyDescent="0.3">
      <c r="A17">
        <v>16</v>
      </c>
      <c r="B17">
        <v>116</v>
      </c>
      <c r="C17" t="s">
        <v>63</v>
      </c>
      <c r="D17" t="s">
        <v>16</v>
      </c>
      <c r="E17">
        <v>21</v>
      </c>
      <c r="F17" t="str">
        <f t="shared" si="0"/>
        <v>Teenager</v>
      </c>
      <c r="G17" s="1">
        <v>46099</v>
      </c>
      <c r="H17" t="str">
        <f t="shared" si="1"/>
        <v>Mar</v>
      </c>
      <c r="I17" t="s">
        <v>49</v>
      </c>
      <c r="J17" t="s">
        <v>64</v>
      </c>
      <c r="K17" t="s">
        <v>25</v>
      </c>
      <c r="L17" t="s">
        <v>26</v>
      </c>
      <c r="M17">
        <v>1</v>
      </c>
      <c r="N17">
        <v>379</v>
      </c>
      <c r="O17" t="s">
        <v>65</v>
      </c>
    </row>
    <row r="18" spans="1:15" x14ac:dyDescent="0.3">
      <c r="A18">
        <v>17</v>
      </c>
      <c r="B18">
        <v>117</v>
      </c>
      <c r="C18" t="s">
        <v>66</v>
      </c>
      <c r="D18" t="s">
        <v>16</v>
      </c>
      <c r="E18">
        <v>12</v>
      </c>
      <c r="F18" t="str">
        <f t="shared" si="0"/>
        <v>Teenager</v>
      </c>
      <c r="G18" s="1">
        <v>46226</v>
      </c>
      <c r="H18" t="str">
        <f t="shared" si="1"/>
        <v>Jul</v>
      </c>
      <c r="I18" t="s">
        <v>67</v>
      </c>
      <c r="J18" t="s">
        <v>43</v>
      </c>
      <c r="K18" t="s">
        <v>58</v>
      </c>
      <c r="L18" t="s">
        <v>50</v>
      </c>
      <c r="M18">
        <v>4</v>
      </c>
      <c r="N18">
        <v>1330</v>
      </c>
      <c r="O18" t="s">
        <v>65</v>
      </c>
    </row>
    <row r="19" spans="1:15" x14ac:dyDescent="0.3">
      <c r="A19">
        <v>18</v>
      </c>
      <c r="B19">
        <v>118</v>
      </c>
      <c r="C19" t="s">
        <v>68</v>
      </c>
      <c r="D19" t="s">
        <v>16</v>
      </c>
      <c r="E19">
        <v>17</v>
      </c>
      <c r="F19" t="str">
        <f t="shared" si="0"/>
        <v>Teenager</v>
      </c>
      <c r="G19" s="1">
        <v>46094</v>
      </c>
      <c r="H19" t="str">
        <f t="shared" si="1"/>
        <v>Mar</v>
      </c>
      <c r="I19" t="s">
        <v>17</v>
      </c>
      <c r="J19" t="s">
        <v>46</v>
      </c>
      <c r="K19" t="s">
        <v>25</v>
      </c>
      <c r="L19" t="s">
        <v>69</v>
      </c>
      <c r="M19">
        <v>3</v>
      </c>
      <c r="N19">
        <v>4200</v>
      </c>
      <c r="O19" t="s">
        <v>21</v>
      </c>
    </row>
    <row r="20" spans="1:15" x14ac:dyDescent="0.3">
      <c r="A20">
        <v>19</v>
      </c>
      <c r="B20">
        <v>119</v>
      </c>
      <c r="C20" t="s">
        <v>70</v>
      </c>
      <c r="D20" t="s">
        <v>38</v>
      </c>
      <c r="E20">
        <v>18</v>
      </c>
      <c r="F20" t="str">
        <f t="shared" si="0"/>
        <v>Teenager</v>
      </c>
      <c r="G20" s="1">
        <v>46194</v>
      </c>
      <c r="H20" t="str">
        <f t="shared" si="1"/>
        <v>Jun</v>
      </c>
      <c r="I20" t="s">
        <v>17</v>
      </c>
      <c r="J20" t="s">
        <v>18</v>
      </c>
      <c r="K20" t="s">
        <v>25</v>
      </c>
      <c r="L20" t="s">
        <v>20</v>
      </c>
      <c r="M20">
        <v>5</v>
      </c>
      <c r="N20">
        <v>5630</v>
      </c>
      <c r="O20" t="s">
        <v>44</v>
      </c>
    </row>
    <row r="21" spans="1:15" x14ac:dyDescent="0.3">
      <c r="A21">
        <v>20</v>
      </c>
      <c r="B21">
        <v>120</v>
      </c>
      <c r="C21" t="s">
        <v>71</v>
      </c>
      <c r="D21" t="s">
        <v>16</v>
      </c>
      <c r="E21">
        <v>1</v>
      </c>
      <c r="F21" t="str">
        <f t="shared" si="0"/>
        <v>Teenager</v>
      </c>
      <c r="G21" s="1">
        <v>46223</v>
      </c>
      <c r="H21" t="str">
        <f t="shared" si="1"/>
        <v>Jul</v>
      </c>
      <c r="I21" t="s">
        <v>49</v>
      </c>
      <c r="J21" t="s">
        <v>32</v>
      </c>
      <c r="K21" t="s">
        <v>40</v>
      </c>
      <c r="L21" t="s">
        <v>33</v>
      </c>
      <c r="M21">
        <v>3</v>
      </c>
      <c r="N21">
        <v>2100</v>
      </c>
      <c r="O21" t="s">
        <v>36</v>
      </c>
    </row>
    <row r="22" spans="1:15" x14ac:dyDescent="0.3">
      <c r="A22">
        <v>21</v>
      </c>
      <c r="B22">
        <v>121</v>
      </c>
      <c r="C22" t="s">
        <v>72</v>
      </c>
      <c r="D22" t="s">
        <v>16</v>
      </c>
      <c r="E22">
        <v>2</v>
      </c>
      <c r="F22" t="str">
        <f t="shared" si="0"/>
        <v>Adult</v>
      </c>
      <c r="G22" s="1">
        <v>46110</v>
      </c>
      <c r="H22" t="str">
        <f t="shared" si="1"/>
        <v>Mar</v>
      </c>
      <c r="I22" t="s">
        <v>17</v>
      </c>
      <c r="J22" t="s">
        <v>64</v>
      </c>
      <c r="K22" t="s">
        <v>25</v>
      </c>
      <c r="L22" t="s">
        <v>73</v>
      </c>
      <c r="M22">
        <v>4</v>
      </c>
      <c r="N22">
        <v>1400</v>
      </c>
      <c r="O22" t="s">
        <v>74</v>
      </c>
    </row>
    <row r="23" spans="1:15" x14ac:dyDescent="0.3">
      <c r="A23">
        <v>22</v>
      </c>
      <c r="B23">
        <v>122</v>
      </c>
      <c r="C23" t="s">
        <v>75</v>
      </c>
      <c r="D23" t="s">
        <v>38</v>
      </c>
      <c r="E23">
        <v>42</v>
      </c>
      <c r="F23" t="str">
        <f t="shared" si="0"/>
        <v>Senior</v>
      </c>
      <c r="G23" s="1">
        <v>46194</v>
      </c>
      <c r="H23" t="str">
        <f t="shared" si="1"/>
        <v>Jun</v>
      </c>
      <c r="I23" t="s">
        <v>49</v>
      </c>
      <c r="J23" t="s">
        <v>18</v>
      </c>
      <c r="K23" t="s">
        <v>25</v>
      </c>
      <c r="L23" t="s">
        <v>20</v>
      </c>
      <c r="M23">
        <v>5</v>
      </c>
      <c r="N23">
        <v>1700</v>
      </c>
      <c r="O23" t="s">
        <v>76</v>
      </c>
    </row>
    <row r="24" spans="1:15" x14ac:dyDescent="0.3">
      <c r="A24">
        <v>23</v>
      </c>
      <c r="B24">
        <v>123</v>
      </c>
      <c r="C24" t="s">
        <v>77</v>
      </c>
      <c r="D24" t="s">
        <v>16</v>
      </c>
      <c r="E24">
        <v>72</v>
      </c>
      <c r="F24" t="str">
        <f t="shared" si="0"/>
        <v>Teenager</v>
      </c>
      <c r="G24" s="1">
        <v>46234</v>
      </c>
      <c r="H24" t="str">
        <f t="shared" si="1"/>
        <v>Jul</v>
      </c>
      <c r="I24" t="s">
        <v>17</v>
      </c>
      <c r="J24" t="s">
        <v>18</v>
      </c>
      <c r="K24" t="s">
        <v>40</v>
      </c>
      <c r="L24" t="s">
        <v>73</v>
      </c>
      <c r="M24">
        <v>2</v>
      </c>
      <c r="N24">
        <v>2300</v>
      </c>
      <c r="O24" t="s">
        <v>78</v>
      </c>
    </row>
    <row r="25" spans="1:15" x14ac:dyDescent="0.3">
      <c r="A25">
        <v>24</v>
      </c>
      <c r="B25">
        <v>124</v>
      </c>
      <c r="C25" t="s">
        <v>79</v>
      </c>
      <c r="D25" t="s">
        <v>38</v>
      </c>
      <c r="E25">
        <v>25</v>
      </c>
      <c r="F25" t="str">
        <f t="shared" si="0"/>
        <v>Teenager</v>
      </c>
      <c r="G25" s="1">
        <v>46260</v>
      </c>
      <c r="H25" t="str">
        <f t="shared" si="1"/>
        <v>Aug</v>
      </c>
      <c r="I25" t="s">
        <v>49</v>
      </c>
      <c r="J25" t="s">
        <v>32</v>
      </c>
      <c r="K25" t="s">
        <v>25</v>
      </c>
      <c r="L25" t="s">
        <v>33</v>
      </c>
      <c r="M25">
        <v>1</v>
      </c>
      <c r="N25">
        <v>789</v>
      </c>
      <c r="O25" t="s">
        <v>74</v>
      </c>
    </row>
    <row r="26" spans="1:15" x14ac:dyDescent="0.3">
      <c r="A26">
        <v>25</v>
      </c>
      <c r="B26">
        <v>125</v>
      </c>
      <c r="C26" t="s">
        <v>80</v>
      </c>
      <c r="D26" t="s">
        <v>16</v>
      </c>
      <c r="E26">
        <v>28</v>
      </c>
      <c r="F26" t="str">
        <f t="shared" si="0"/>
        <v>Teenager</v>
      </c>
      <c r="G26" s="1">
        <v>46201</v>
      </c>
      <c r="H26" t="str">
        <f t="shared" si="1"/>
        <v>Jun</v>
      </c>
      <c r="I26" t="s">
        <v>17</v>
      </c>
      <c r="J26" t="s">
        <v>43</v>
      </c>
      <c r="K26" t="s">
        <v>40</v>
      </c>
      <c r="L26" t="s">
        <v>29</v>
      </c>
      <c r="M26">
        <v>1</v>
      </c>
      <c r="N26">
        <v>263</v>
      </c>
      <c r="O26" t="s">
        <v>21</v>
      </c>
    </row>
    <row r="27" spans="1:15" x14ac:dyDescent="0.3">
      <c r="A27">
        <v>26</v>
      </c>
      <c r="B27">
        <v>126</v>
      </c>
      <c r="C27" t="s">
        <v>81</v>
      </c>
      <c r="D27" t="s">
        <v>16</v>
      </c>
      <c r="E27">
        <v>5</v>
      </c>
      <c r="F27" t="str">
        <f t="shared" si="0"/>
        <v>Teenager</v>
      </c>
      <c r="G27" s="1">
        <v>46153</v>
      </c>
      <c r="H27" t="str">
        <f t="shared" si="1"/>
        <v>May</v>
      </c>
      <c r="I27" t="s">
        <v>49</v>
      </c>
      <c r="J27" t="s">
        <v>39</v>
      </c>
      <c r="K27" t="s">
        <v>40</v>
      </c>
      <c r="L27" t="s">
        <v>50</v>
      </c>
      <c r="M27">
        <v>1</v>
      </c>
      <c r="N27">
        <v>321</v>
      </c>
      <c r="O27" t="s">
        <v>82</v>
      </c>
    </row>
    <row r="28" spans="1:15" x14ac:dyDescent="0.3">
      <c r="A28">
        <v>27</v>
      </c>
      <c r="B28">
        <v>127</v>
      </c>
      <c r="C28" t="s">
        <v>83</v>
      </c>
      <c r="D28" t="s">
        <v>16</v>
      </c>
      <c r="E28">
        <v>26</v>
      </c>
      <c r="F28" t="str">
        <f t="shared" si="0"/>
        <v>Adult</v>
      </c>
      <c r="G28" s="1">
        <v>46094</v>
      </c>
      <c r="H28" t="str">
        <f t="shared" si="1"/>
        <v>Mar</v>
      </c>
      <c r="I28" t="s">
        <v>17</v>
      </c>
      <c r="J28" t="s">
        <v>18</v>
      </c>
      <c r="K28" t="s">
        <v>58</v>
      </c>
      <c r="L28" t="s">
        <v>20</v>
      </c>
      <c r="M28">
        <v>4</v>
      </c>
      <c r="N28">
        <v>1890</v>
      </c>
      <c r="O28" t="s">
        <v>36</v>
      </c>
    </row>
    <row r="29" spans="1:15" x14ac:dyDescent="0.3">
      <c r="A29">
        <v>28</v>
      </c>
      <c r="B29">
        <v>128</v>
      </c>
      <c r="C29" t="s">
        <v>84</v>
      </c>
      <c r="D29" t="s">
        <v>38</v>
      </c>
      <c r="E29">
        <v>41</v>
      </c>
      <c r="F29" t="str">
        <f t="shared" si="0"/>
        <v>Adult</v>
      </c>
      <c r="G29" s="1">
        <v>46075</v>
      </c>
      <c r="H29" t="str">
        <f t="shared" si="1"/>
        <v>Feb</v>
      </c>
      <c r="I29" t="s">
        <v>49</v>
      </c>
      <c r="J29" t="s">
        <v>64</v>
      </c>
      <c r="K29" t="s">
        <v>19</v>
      </c>
      <c r="L29" t="s">
        <v>33</v>
      </c>
      <c r="M29">
        <v>4</v>
      </c>
      <c r="N29">
        <v>780</v>
      </c>
      <c r="O29" t="s">
        <v>36</v>
      </c>
    </row>
    <row r="30" spans="1:15" x14ac:dyDescent="0.3">
      <c r="A30">
        <v>29</v>
      </c>
      <c r="B30">
        <v>129</v>
      </c>
      <c r="C30" t="s">
        <v>85</v>
      </c>
      <c r="D30" t="s">
        <v>38</v>
      </c>
      <c r="E30">
        <v>36</v>
      </c>
      <c r="F30" t="str">
        <f t="shared" si="0"/>
        <v>Teenager</v>
      </c>
      <c r="G30" s="1">
        <v>46126</v>
      </c>
      <c r="H30" t="str">
        <f t="shared" si="1"/>
        <v>Apr</v>
      </c>
      <c r="I30" t="s">
        <v>17</v>
      </c>
      <c r="J30" t="s">
        <v>32</v>
      </c>
      <c r="K30" t="s">
        <v>58</v>
      </c>
      <c r="L30" t="s">
        <v>26</v>
      </c>
      <c r="M30">
        <v>2</v>
      </c>
      <c r="N30">
        <v>565</v>
      </c>
      <c r="O30" t="s">
        <v>53</v>
      </c>
    </row>
    <row r="31" spans="1:15" x14ac:dyDescent="0.3">
      <c r="A31">
        <v>30</v>
      </c>
      <c r="B31">
        <v>130</v>
      </c>
      <c r="C31" t="s">
        <v>86</v>
      </c>
      <c r="D31" t="s">
        <v>16</v>
      </c>
      <c r="E31">
        <v>5</v>
      </c>
      <c r="F31" t="str">
        <f t="shared" si="0"/>
        <v>Senior</v>
      </c>
      <c r="G31" s="1">
        <v>46258</v>
      </c>
      <c r="H31" t="str">
        <f t="shared" si="1"/>
        <v>Aug</v>
      </c>
      <c r="I31" t="s">
        <v>49</v>
      </c>
      <c r="J31" t="s">
        <v>43</v>
      </c>
      <c r="K31" t="s">
        <v>25</v>
      </c>
      <c r="L31" t="s">
        <v>29</v>
      </c>
      <c r="M31">
        <v>2</v>
      </c>
      <c r="N31">
        <v>1700</v>
      </c>
      <c r="O31" t="s">
        <v>47</v>
      </c>
    </row>
    <row r="32" spans="1:15" x14ac:dyDescent="0.3">
      <c r="A32">
        <v>31</v>
      </c>
      <c r="B32">
        <v>131</v>
      </c>
      <c r="C32" t="s">
        <v>87</v>
      </c>
      <c r="D32" t="s">
        <v>38</v>
      </c>
      <c r="E32">
        <v>54</v>
      </c>
      <c r="F32" t="str">
        <f t="shared" si="0"/>
        <v>Senior</v>
      </c>
      <c r="G32" s="1">
        <v>46064</v>
      </c>
      <c r="H32" t="str">
        <f t="shared" si="1"/>
        <v>Feb</v>
      </c>
      <c r="I32" t="s">
        <v>49</v>
      </c>
      <c r="J32" t="s">
        <v>43</v>
      </c>
      <c r="K32" t="s">
        <v>25</v>
      </c>
      <c r="L32" t="s">
        <v>33</v>
      </c>
      <c r="M32">
        <v>1</v>
      </c>
      <c r="N32">
        <v>2300</v>
      </c>
      <c r="O32" t="s">
        <v>88</v>
      </c>
    </row>
    <row r="33" spans="1:15" x14ac:dyDescent="0.3">
      <c r="A33">
        <v>32</v>
      </c>
      <c r="B33">
        <v>132</v>
      </c>
      <c r="C33" t="s">
        <v>89</v>
      </c>
      <c r="D33" t="s">
        <v>16</v>
      </c>
      <c r="E33">
        <v>78</v>
      </c>
      <c r="F33" t="str">
        <f t="shared" si="0"/>
        <v>Adult</v>
      </c>
      <c r="G33" s="1">
        <v>46027</v>
      </c>
      <c r="H33" t="str">
        <f t="shared" si="1"/>
        <v>Jan</v>
      </c>
      <c r="I33" t="s">
        <v>42</v>
      </c>
      <c r="J33" t="s">
        <v>39</v>
      </c>
      <c r="K33" t="s">
        <v>25</v>
      </c>
      <c r="L33" t="s">
        <v>29</v>
      </c>
      <c r="M33">
        <v>1</v>
      </c>
      <c r="N33">
        <v>789</v>
      </c>
      <c r="O33" t="s">
        <v>90</v>
      </c>
    </row>
    <row r="34" spans="1:15" x14ac:dyDescent="0.3">
      <c r="A34">
        <v>33</v>
      </c>
      <c r="B34">
        <v>133</v>
      </c>
      <c r="C34" t="s">
        <v>91</v>
      </c>
      <c r="D34" t="s">
        <v>38</v>
      </c>
      <c r="E34">
        <v>40</v>
      </c>
      <c r="F34" t="str">
        <f t="shared" si="0"/>
        <v>Adult</v>
      </c>
      <c r="G34" s="1">
        <v>46090</v>
      </c>
      <c r="H34" t="str">
        <f t="shared" si="1"/>
        <v>Mar</v>
      </c>
      <c r="I34" t="s">
        <v>17</v>
      </c>
      <c r="J34" t="s">
        <v>39</v>
      </c>
      <c r="K34" t="s">
        <v>19</v>
      </c>
      <c r="L34" t="s">
        <v>50</v>
      </c>
      <c r="M34">
        <v>1</v>
      </c>
      <c r="N34">
        <v>263</v>
      </c>
      <c r="O34" t="s">
        <v>92</v>
      </c>
    </row>
    <row r="35" spans="1:15" x14ac:dyDescent="0.3">
      <c r="A35">
        <v>34</v>
      </c>
      <c r="B35">
        <v>134</v>
      </c>
      <c r="C35" t="s">
        <v>93</v>
      </c>
      <c r="D35" t="s">
        <v>38</v>
      </c>
      <c r="E35">
        <v>30</v>
      </c>
      <c r="F35" t="str">
        <f t="shared" si="0"/>
        <v>Adult</v>
      </c>
      <c r="G35" s="1">
        <v>46139</v>
      </c>
      <c r="H35" t="str">
        <f t="shared" si="1"/>
        <v>Apr</v>
      </c>
      <c r="I35" t="s">
        <v>23</v>
      </c>
      <c r="J35" t="s">
        <v>43</v>
      </c>
      <c r="K35" t="s">
        <v>58</v>
      </c>
      <c r="L35" t="s">
        <v>33</v>
      </c>
      <c r="M35">
        <v>1</v>
      </c>
      <c r="N35">
        <v>321</v>
      </c>
      <c r="O35" t="s">
        <v>65</v>
      </c>
    </row>
    <row r="36" spans="1:15" x14ac:dyDescent="0.3">
      <c r="A36">
        <v>35</v>
      </c>
      <c r="B36">
        <v>135</v>
      </c>
      <c r="C36" t="s">
        <v>94</v>
      </c>
      <c r="D36" t="s">
        <v>16</v>
      </c>
      <c r="E36">
        <v>38</v>
      </c>
      <c r="F36" t="str">
        <f t="shared" si="0"/>
        <v>Senior</v>
      </c>
      <c r="G36" s="1">
        <v>46263</v>
      </c>
      <c r="H36" t="str">
        <f t="shared" si="1"/>
        <v>Aug</v>
      </c>
      <c r="I36" t="s">
        <v>17</v>
      </c>
      <c r="J36" t="s">
        <v>18</v>
      </c>
      <c r="K36" t="s">
        <v>40</v>
      </c>
      <c r="L36" t="s">
        <v>29</v>
      </c>
      <c r="M36">
        <v>1</v>
      </c>
      <c r="N36">
        <v>1890</v>
      </c>
      <c r="O36" t="s">
        <v>55</v>
      </c>
    </row>
    <row r="37" spans="1:15" x14ac:dyDescent="0.3">
      <c r="A37">
        <v>36</v>
      </c>
      <c r="B37">
        <v>136</v>
      </c>
      <c r="C37" t="s">
        <v>95</v>
      </c>
      <c r="D37" t="s">
        <v>16</v>
      </c>
      <c r="E37">
        <v>88</v>
      </c>
      <c r="F37" t="str">
        <f t="shared" si="0"/>
        <v>Teenager</v>
      </c>
      <c r="G37" s="1">
        <v>46033</v>
      </c>
      <c r="H37" t="str">
        <f t="shared" si="1"/>
        <v>Jan</v>
      </c>
      <c r="I37" t="s">
        <v>67</v>
      </c>
      <c r="J37" t="s">
        <v>39</v>
      </c>
      <c r="K37" t="s">
        <v>58</v>
      </c>
      <c r="L37" t="s">
        <v>20</v>
      </c>
      <c r="M37">
        <v>2</v>
      </c>
      <c r="N37">
        <v>780</v>
      </c>
      <c r="O37" t="s">
        <v>65</v>
      </c>
    </row>
    <row r="38" spans="1:15" x14ac:dyDescent="0.3">
      <c r="A38">
        <v>37</v>
      </c>
      <c r="B38">
        <v>137</v>
      </c>
      <c r="C38" t="s">
        <v>96</v>
      </c>
      <c r="D38" t="s">
        <v>38</v>
      </c>
      <c r="E38">
        <v>18</v>
      </c>
      <c r="F38" t="str">
        <f t="shared" si="0"/>
        <v>Adult</v>
      </c>
      <c r="G38" s="1">
        <v>46101</v>
      </c>
      <c r="H38" t="str">
        <f t="shared" si="1"/>
        <v>Mar</v>
      </c>
      <c r="I38" t="s">
        <v>42</v>
      </c>
      <c r="J38" t="s">
        <v>32</v>
      </c>
      <c r="K38" t="s">
        <v>19</v>
      </c>
      <c r="L38" t="s">
        <v>29</v>
      </c>
      <c r="M38">
        <v>3</v>
      </c>
      <c r="N38">
        <v>565</v>
      </c>
      <c r="O38" t="s">
        <v>36</v>
      </c>
    </row>
    <row r="39" spans="1:15" x14ac:dyDescent="0.3">
      <c r="A39">
        <v>38</v>
      </c>
      <c r="B39">
        <v>138</v>
      </c>
      <c r="C39" t="s">
        <v>97</v>
      </c>
      <c r="D39" t="s">
        <v>16</v>
      </c>
      <c r="E39">
        <v>34</v>
      </c>
      <c r="F39" t="str">
        <f t="shared" si="0"/>
        <v>Adult</v>
      </c>
      <c r="G39" s="1">
        <v>46121</v>
      </c>
      <c r="H39" t="str">
        <f t="shared" si="1"/>
        <v>Apr</v>
      </c>
      <c r="I39" t="s">
        <v>17</v>
      </c>
      <c r="J39" t="s">
        <v>32</v>
      </c>
      <c r="K39" t="s">
        <v>40</v>
      </c>
      <c r="L39" t="s">
        <v>26</v>
      </c>
      <c r="M39">
        <v>2</v>
      </c>
      <c r="N39">
        <v>2500</v>
      </c>
      <c r="O39" t="s">
        <v>21</v>
      </c>
    </row>
    <row r="40" spans="1:15" x14ac:dyDescent="0.3">
      <c r="A40">
        <v>39</v>
      </c>
      <c r="B40">
        <v>139</v>
      </c>
      <c r="C40" t="s">
        <v>98</v>
      </c>
      <c r="D40" t="s">
        <v>16</v>
      </c>
      <c r="E40">
        <v>44</v>
      </c>
      <c r="F40" t="str">
        <f t="shared" si="0"/>
        <v>Teenager</v>
      </c>
      <c r="G40" s="1">
        <v>46080</v>
      </c>
      <c r="H40" t="str">
        <f t="shared" si="1"/>
        <v>Feb</v>
      </c>
      <c r="I40" t="s">
        <v>49</v>
      </c>
      <c r="J40" t="s">
        <v>43</v>
      </c>
      <c r="K40" t="s">
        <v>58</v>
      </c>
      <c r="L40" t="s">
        <v>20</v>
      </c>
      <c r="M40">
        <v>1</v>
      </c>
      <c r="N40">
        <v>2100</v>
      </c>
      <c r="O40" t="s">
        <v>74</v>
      </c>
    </row>
    <row r="41" spans="1:15" x14ac:dyDescent="0.3">
      <c r="A41">
        <v>40</v>
      </c>
      <c r="B41">
        <v>140</v>
      </c>
      <c r="C41" t="s">
        <v>99</v>
      </c>
      <c r="D41" t="s">
        <v>38</v>
      </c>
      <c r="E41">
        <v>10</v>
      </c>
      <c r="F41" t="str">
        <f t="shared" si="0"/>
        <v>Teenager</v>
      </c>
      <c r="G41" s="1">
        <v>46157</v>
      </c>
      <c r="H41" t="str">
        <f t="shared" si="1"/>
        <v>May</v>
      </c>
      <c r="I41" t="s">
        <v>49</v>
      </c>
      <c r="J41" t="s">
        <v>39</v>
      </c>
      <c r="K41" t="s">
        <v>40</v>
      </c>
      <c r="L41" t="s">
        <v>50</v>
      </c>
      <c r="M41">
        <v>5</v>
      </c>
      <c r="N41">
        <v>1150</v>
      </c>
      <c r="O41" t="s">
        <v>74</v>
      </c>
    </row>
    <row r="42" spans="1:15" x14ac:dyDescent="0.3">
      <c r="A42">
        <v>41</v>
      </c>
      <c r="B42">
        <v>141</v>
      </c>
      <c r="C42" t="s">
        <v>100</v>
      </c>
      <c r="D42" t="s">
        <v>16</v>
      </c>
      <c r="E42">
        <v>20</v>
      </c>
      <c r="F42" t="str">
        <f t="shared" si="0"/>
        <v>Teenager</v>
      </c>
      <c r="G42" s="1">
        <v>46225</v>
      </c>
      <c r="H42" t="str">
        <f t="shared" si="1"/>
        <v>Jul</v>
      </c>
      <c r="I42" t="s">
        <v>23</v>
      </c>
      <c r="J42" t="s">
        <v>32</v>
      </c>
      <c r="K42" t="s">
        <v>19</v>
      </c>
      <c r="L42" t="s">
        <v>33</v>
      </c>
      <c r="M42">
        <v>1</v>
      </c>
      <c r="N42">
        <v>1449</v>
      </c>
      <c r="O42" t="s">
        <v>62</v>
      </c>
    </row>
    <row r="43" spans="1:15" x14ac:dyDescent="0.3">
      <c r="A43">
        <v>42</v>
      </c>
      <c r="B43">
        <v>142</v>
      </c>
      <c r="C43" t="s">
        <v>101</v>
      </c>
      <c r="D43" t="s">
        <v>16</v>
      </c>
      <c r="E43">
        <v>29</v>
      </c>
      <c r="F43" t="str">
        <f t="shared" si="0"/>
        <v>Senior</v>
      </c>
      <c r="G43" s="1">
        <v>46023</v>
      </c>
      <c r="H43" t="str">
        <f t="shared" si="1"/>
        <v>Jan</v>
      </c>
      <c r="I43" t="s">
        <v>17</v>
      </c>
      <c r="J43" t="s">
        <v>32</v>
      </c>
      <c r="K43" t="s">
        <v>19</v>
      </c>
      <c r="L43" t="s">
        <v>20</v>
      </c>
      <c r="M43">
        <v>1</v>
      </c>
      <c r="N43">
        <v>1200</v>
      </c>
      <c r="O43" t="s">
        <v>53</v>
      </c>
    </row>
    <row r="44" spans="1:15" x14ac:dyDescent="0.3">
      <c r="A44">
        <v>43</v>
      </c>
      <c r="B44">
        <v>143</v>
      </c>
      <c r="C44" t="s">
        <v>102</v>
      </c>
      <c r="D44" t="s">
        <v>16</v>
      </c>
      <c r="E44">
        <v>50</v>
      </c>
      <c r="F44" t="str">
        <f t="shared" si="0"/>
        <v>Senior</v>
      </c>
      <c r="G44" s="1">
        <v>46142</v>
      </c>
      <c r="H44" t="str">
        <f t="shared" si="1"/>
        <v>Apr</v>
      </c>
      <c r="I44" t="s">
        <v>67</v>
      </c>
      <c r="J44" t="s">
        <v>43</v>
      </c>
      <c r="K44" t="s">
        <v>25</v>
      </c>
      <c r="L44" t="s">
        <v>29</v>
      </c>
      <c r="M44">
        <v>2</v>
      </c>
      <c r="N44">
        <v>379</v>
      </c>
      <c r="O44" t="s">
        <v>90</v>
      </c>
    </row>
    <row r="45" spans="1:15" x14ac:dyDescent="0.3">
      <c r="A45">
        <v>44</v>
      </c>
      <c r="B45">
        <v>144</v>
      </c>
      <c r="C45" t="s">
        <v>103</v>
      </c>
      <c r="D45" t="s">
        <v>38</v>
      </c>
      <c r="E45">
        <v>55</v>
      </c>
      <c r="F45" t="str">
        <f t="shared" si="0"/>
        <v>Adult</v>
      </c>
      <c r="G45" s="1">
        <v>46113</v>
      </c>
      <c r="H45" t="str">
        <f t="shared" si="1"/>
        <v>Apr</v>
      </c>
      <c r="I45" t="s">
        <v>17</v>
      </c>
      <c r="J45" t="s">
        <v>43</v>
      </c>
      <c r="K45" t="s">
        <v>19</v>
      </c>
      <c r="L45" t="s">
        <v>29</v>
      </c>
      <c r="M45">
        <v>3</v>
      </c>
      <c r="N45">
        <v>1330</v>
      </c>
      <c r="O45" t="s">
        <v>82</v>
      </c>
    </row>
    <row r="46" spans="1:15" x14ac:dyDescent="0.3">
      <c r="A46">
        <v>45</v>
      </c>
      <c r="B46">
        <v>145</v>
      </c>
      <c r="C46" t="s">
        <v>104</v>
      </c>
      <c r="D46" t="s">
        <v>38</v>
      </c>
      <c r="E46">
        <v>46</v>
      </c>
      <c r="F46" t="str">
        <f t="shared" si="0"/>
        <v>Teenager</v>
      </c>
      <c r="G46" s="1">
        <v>46038</v>
      </c>
      <c r="H46" t="str">
        <f t="shared" si="1"/>
        <v>Jan</v>
      </c>
      <c r="I46" t="s">
        <v>17</v>
      </c>
      <c r="J46" t="s">
        <v>39</v>
      </c>
      <c r="K46" t="s">
        <v>40</v>
      </c>
      <c r="L46" t="s">
        <v>33</v>
      </c>
      <c r="M46">
        <v>1</v>
      </c>
      <c r="N46">
        <v>4200</v>
      </c>
      <c r="O46" t="s">
        <v>55</v>
      </c>
    </row>
    <row r="47" spans="1:15" x14ac:dyDescent="0.3">
      <c r="A47">
        <v>46</v>
      </c>
      <c r="B47">
        <v>146</v>
      </c>
      <c r="C47" t="s">
        <v>105</v>
      </c>
      <c r="D47" t="s">
        <v>16</v>
      </c>
      <c r="E47">
        <v>13</v>
      </c>
      <c r="F47" t="str">
        <f t="shared" si="0"/>
        <v>Adult</v>
      </c>
      <c r="G47" s="1">
        <v>46162</v>
      </c>
      <c r="H47" t="str">
        <f t="shared" si="1"/>
        <v>May</v>
      </c>
      <c r="I47" t="s">
        <v>17</v>
      </c>
      <c r="J47" t="s">
        <v>43</v>
      </c>
      <c r="K47" t="s">
        <v>58</v>
      </c>
      <c r="L47" t="s">
        <v>29</v>
      </c>
      <c r="M47">
        <v>1</v>
      </c>
      <c r="N47">
        <v>5630</v>
      </c>
      <c r="O47" t="s">
        <v>62</v>
      </c>
    </row>
    <row r="48" spans="1:15" x14ac:dyDescent="0.3">
      <c r="A48">
        <v>47</v>
      </c>
      <c r="B48">
        <v>147</v>
      </c>
      <c r="C48" t="s">
        <v>106</v>
      </c>
      <c r="D48" t="s">
        <v>16</v>
      </c>
      <c r="E48">
        <v>31</v>
      </c>
      <c r="F48" t="str">
        <f t="shared" si="0"/>
        <v>Adult</v>
      </c>
      <c r="G48" s="1">
        <v>46195</v>
      </c>
      <c r="H48" t="str">
        <f t="shared" si="1"/>
        <v>Jun</v>
      </c>
      <c r="I48" t="s">
        <v>67</v>
      </c>
      <c r="J48" t="s">
        <v>32</v>
      </c>
      <c r="K48" t="s">
        <v>25</v>
      </c>
      <c r="L48" t="s">
        <v>33</v>
      </c>
      <c r="M48">
        <v>5</v>
      </c>
      <c r="N48">
        <v>4970</v>
      </c>
      <c r="O48" t="s">
        <v>65</v>
      </c>
    </row>
    <row r="49" spans="1:15" x14ac:dyDescent="0.3">
      <c r="A49">
        <v>48</v>
      </c>
      <c r="B49">
        <v>148</v>
      </c>
      <c r="C49" t="s">
        <v>107</v>
      </c>
      <c r="D49" t="s">
        <v>38</v>
      </c>
      <c r="E49">
        <v>47</v>
      </c>
      <c r="F49" t="str">
        <f t="shared" si="0"/>
        <v>Teenager</v>
      </c>
      <c r="G49" s="1">
        <v>46128</v>
      </c>
      <c r="H49" t="str">
        <f t="shared" si="1"/>
        <v>Apr</v>
      </c>
      <c r="I49" t="s">
        <v>49</v>
      </c>
      <c r="J49" t="s">
        <v>39</v>
      </c>
      <c r="K49" t="s">
        <v>19</v>
      </c>
      <c r="L49" t="s">
        <v>33</v>
      </c>
      <c r="M49">
        <v>2</v>
      </c>
      <c r="N49">
        <v>650</v>
      </c>
      <c r="O49" t="s">
        <v>21</v>
      </c>
    </row>
    <row r="50" spans="1:15" x14ac:dyDescent="0.3">
      <c r="A50">
        <v>49</v>
      </c>
      <c r="B50">
        <v>149</v>
      </c>
      <c r="C50" t="s">
        <v>108</v>
      </c>
      <c r="D50" t="s">
        <v>38</v>
      </c>
      <c r="E50">
        <v>22</v>
      </c>
      <c r="F50" t="str">
        <f t="shared" si="0"/>
        <v>Adult</v>
      </c>
      <c r="G50" s="1">
        <v>46102</v>
      </c>
      <c r="H50" t="str">
        <f t="shared" si="1"/>
        <v>Mar</v>
      </c>
      <c r="I50" t="s">
        <v>42</v>
      </c>
      <c r="J50" t="s">
        <v>32</v>
      </c>
      <c r="K50" t="s">
        <v>40</v>
      </c>
      <c r="L50" t="s">
        <v>26</v>
      </c>
      <c r="M50">
        <v>3</v>
      </c>
      <c r="N50">
        <v>1650</v>
      </c>
      <c r="O50" t="s">
        <v>74</v>
      </c>
    </row>
    <row r="51" spans="1:15" x14ac:dyDescent="0.3">
      <c r="A51">
        <v>50</v>
      </c>
      <c r="B51">
        <v>150</v>
      </c>
      <c r="C51" t="s">
        <v>116</v>
      </c>
      <c r="D51" t="s">
        <v>38</v>
      </c>
      <c r="E51">
        <v>42</v>
      </c>
      <c r="F51" t="str">
        <f t="shared" si="0"/>
        <v>Teenager</v>
      </c>
      <c r="G51" s="1">
        <v>46059</v>
      </c>
      <c r="H51" t="str">
        <f t="shared" si="1"/>
        <v>Feb</v>
      </c>
      <c r="I51" t="s">
        <v>17</v>
      </c>
      <c r="J51" t="s">
        <v>43</v>
      </c>
      <c r="K51" t="s">
        <v>40</v>
      </c>
      <c r="L51" t="s">
        <v>33</v>
      </c>
      <c r="M51">
        <v>4</v>
      </c>
      <c r="N51">
        <v>1340</v>
      </c>
      <c r="O51"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B8E6-F918-46B2-B946-B58E60A4AA97}">
  <dimension ref="A3:C12"/>
  <sheetViews>
    <sheetView tabSelected="1" zoomScale="125" workbookViewId="0">
      <selection activeCell="C7" sqref="C7"/>
    </sheetView>
  </sheetViews>
  <sheetFormatPr defaultRowHeight="14.4" x14ac:dyDescent="0.3"/>
  <cols>
    <col min="1" max="1" width="12.44140625" bestFit="1" customWidth="1"/>
    <col min="2" max="2" width="13.77734375" bestFit="1" customWidth="1"/>
    <col min="3" max="3" width="15.5546875" bestFit="1" customWidth="1"/>
  </cols>
  <sheetData>
    <row r="3" spans="1:3" x14ac:dyDescent="0.3">
      <c r="A3" s="5" t="s">
        <v>109</v>
      </c>
      <c r="B3" t="s">
        <v>110</v>
      </c>
      <c r="C3" t="s">
        <v>111</v>
      </c>
    </row>
    <row r="4" spans="1:3" x14ac:dyDescent="0.3">
      <c r="A4" s="8" t="s">
        <v>121</v>
      </c>
      <c r="B4">
        <v>10769</v>
      </c>
      <c r="C4">
        <v>7</v>
      </c>
    </row>
    <row r="5" spans="1:3" x14ac:dyDescent="0.3">
      <c r="A5" s="8" t="s">
        <v>122</v>
      </c>
      <c r="B5">
        <v>15148</v>
      </c>
      <c r="C5">
        <v>8</v>
      </c>
    </row>
    <row r="6" spans="1:3" x14ac:dyDescent="0.3">
      <c r="A6" s="8" t="s">
        <v>123</v>
      </c>
      <c r="B6">
        <v>12447</v>
      </c>
      <c r="C6">
        <v>8</v>
      </c>
    </row>
    <row r="7" spans="1:3" x14ac:dyDescent="0.3">
      <c r="A7" s="8" t="s">
        <v>124</v>
      </c>
      <c r="B7">
        <v>5745</v>
      </c>
      <c r="C7">
        <v>6</v>
      </c>
    </row>
    <row r="8" spans="1:3" x14ac:dyDescent="0.3">
      <c r="A8" s="8" t="s">
        <v>118</v>
      </c>
      <c r="B8">
        <v>11301</v>
      </c>
      <c r="C8">
        <v>5</v>
      </c>
    </row>
    <row r="9" spans="1:3" x14ac:dyDescent="0.3">
      <c r="A9" s="8" t="s">
        <v>119</v>
      </c>
      <c r="B9">
        <v>16762</v>
      </c>
      <c r="C9">
        <v>7</v>
      </c>
    </row>
    <row r="10" spans="1:3" x14ac:dyDescent="0.3">
      <c r="A10" s="8" t="s">
        <v>125</v>
      </c>
      <c r="B10">
        <v>8628</v>
      </c>
      <c r="C10">
        <v>5</v>
      </c>
    </row>
    <row r="11" spans="1:3" x14ac:dyDescent="0.3">
      <c r="A11" s="8" t="s">
        <v>120</v>
      </c>
      <c r="B11">
        <v>4879</v>
      </c>
      <c r="C11">
        <v>4</v>
      </c>
    </row>
    <row r="12" spans="1:3" x14ac:dyDescent="0.3">
      <c r="A12" s="8" t="s">
        <v>126</v>
      </c>
      <c r="B12">
        <v>85679</v>
      </c>
      <c r="C12">
        <v>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364A-9458-4EAC-86D1-94A825F15861}">
  <dimension ref="A3:B6"/>
  <sheetViews>
    <sheetView workbookViewId="0">
      <selection activeCell="A4" sqref="A4"/>
    </sheetView>
  </sheetViews>
  <sheetFormatPr defaultRowHeight="14.4" x14ac:dyDescent="0.3"/>
  <cols>
    <col min="1" max="1" width="12.44140625" bestFit="1" customWidth="1"/>
    <col min="2" max="2" width="13.5546875" bestFit="1" customWidth="1"/>
  </cols>
  <sheetData>
    <row r="3" spans="1:2" x14ac:dyDescent="0.3">
      <c r="A3" s="5" t="s">
        <v>109</v>
      </c>
      <c r="B3" t="s">
        <v>110</v>
      </c>
    </row>
    <row r="4" spans="1:2" x14ac:dyDescent="0.3">
      <c r="A4" s="8" t="s">
        <v>38</v>
      </c>
      <c r="B4">
        <v>25168</v>
      </c>
    </row>
    <row r="5" spans="1:2" x14ac:dyDescent="0.3">
      <c r="A5" s="8" t="s">
        <v>16</v>
      </c>
      <c r="B5">
        <v>60511</v>
      </c>
    </row>
    <row r="6" spans="1:2" x14ac:dyDescent="0.3">
      <c r="A6" s="8" t="s">
        <v>126</v>
      </c>
      <c r="B6">
        <v>85679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F7E0-2214-4D19-AC3C-ACEE414E64D8}">
  <dimension ref="A3:B8"/>
  <sheetViews>
    <sheetView topLeftCell="A8" zoomScale="170" workbookViewId="0">
      <selection activeCell="B3" sqref="B3"/>
    </sheetView>
  </sheetViews>
  <sheetFormatPr defaultRowHeight="14.4" x14ac:dyDescent="0.3"/>
  <cols>
    <col min="1" max="1" width="12.44140625" bestFit="1" customWidth="1"/>
    <col min="2" max="2" width="14" bestFit="1" customWidth="1"/>
  </cols>
  <sheetData>
    <row r="3" spans="1:2" x14ac:dyDescent="0.3">
      <c r="A3" s="5" t="s">
        <v>109</v>
      </c>
      <c r="B3" t="s">
        <v>112</v>
      </c>
    </row>
    <row r="4" spans="1:2" x14ac:dyDescent="0.3">
      <c r="A4" s="8" t="s">
        <v>17</v>
      </c>
      <c r="B4">
        <v>2757</v>
      </c>
    </row>
    <row r="5" spans="1:2" x14ac:dyDescent="0.3">
      <c r="A5" s="8" t="s">
        <v>49</v>
      </c>
      <c r="B5">
        <v>1983</v>
      </c>
    </row>
    <row r="6" spans="1:2" x14ac:dyDescent="0.3">
      <c r="A6" s="8" t="s">
        <v>23</v>
      </c>
      <c r="B6">
        <v>377</v>
      </c>
    </row>
    <row r="7" spans="1:2" x14ac:dyDescent="0.3">
      <c r="A7" s="8" t="s">
        <v>42</v>
      </c>
      <c r="B7">
        <v>525</v>
      </c>
    </row>
    <row r="8" spans="1:2" x14ac:dyDescent="0.3">
      <c r="A8" s="8" t="s">
        <v>67</v>
      </c>
      <c r="B8">
        <v>543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84621-3351-43C6-BF4E-822DDD06224A}">
  <dimension ref="A3:B8"/>
  <sheetViews>
    <sheetView workbookViewId="0">
      <selection activeCell="B6" sqref="B6"/>
    </sheetView>
  </sheetViews>
  <sheetFormatPr defaultRowHeight="14.4" x14ac:dyDescent="0.3"/>
  <cols>
    <col min="1" max="1" width="14.5546875" bestFit="1" customWidth="1"/>
    <col min="2" max="2" width="13.5546875" bestFit="1" customWidth="1"/>
  </cols>
  <sheetData>
    <row r="3" spans="1:2" x14ac:dyDescent="0.3">
      <c r="A3" s="5" t="s">
        <v>109</v>
      </c>
      <c r="B3" t="s">
        <v>110</v>
      </c>
    </row>
    <row r="4" spans="1:2" x14ac:dyDescent="0.3">
      <c r="A4" s="8" t="s">
        <v>55</v>
      </c>
      <c r="B4">
        <v>8590</v>
      </c>
    </row>
    <row r="5" spans="1:2" x14ac:dyDescent="0.3">
      <c r="A5" s="8" t="s">
        <v>21</v>
      </c>
      <c r="B5">
        <v>8342</v>
      </c>
    </row>
    <row r="6" spans="1:2" x14ac:dyDescent="0.3">
      <c r="A6" s="8" t="s">
        <v>62</v>
      </c>
      <c r="B6">
        <v>8279</v>
      </c>
    </row>
    <row r="7" spans="1:2" x14ac:dyDescent="0.3">
      <c r="A7" s="8" t="s">
        <v>65</v>
      </c>
      <c r="B7">
        <v>7780</v>
      </c>
    </row>
    <row r="8" spans="1:2" x14ac:dyDescent="0.3">
      <c r="A8" s="8" t="s">
        <v>44</v>
      </c>
      <c r="B8">
        <v>7630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6720-A738-4C13-9D55-0E24F639F38E}">
  <dimension ref="A3:C7"/>
  <sheetViews>
    <sheetView zoomScaleNormal="100" workbookViewId="0">
      <selection activeCell="B17" sqref="B17"/>
    </sheetView>
  </sheetViews>
  <sheetFormatPr defaultRowHeight="14.4" x14ac:dyDescent="0.3"/>
  <cols>
    <col min="1" max="1" width="14" bestFit="1" customWidth="1"/>
    <col min="2" max="2" width="15.5546875" bestFit="1" customWidth="1"/>
    <col min="3" max="3" width="7.33203125" bestFit="1" customWidth="1"/>
    <col min="4" max="4" width="10.5546875" bestFit="1" customWidth="1"/>
  </cols>
  <sheetData>
    <row r="3" spans="1:3" x14ac:dyDescent="0.3">
      <c r="A3" s="5" t="s">
        <v>112</v>
      </c>
      <c r="B3" s="5" t="s">
        <v>113</v>
      </c>
    </row>
    <row r="4" spans="1:3" x14ac:dyDescent="0.3">
      <c r="A4" s="5" t="s">
        <v>109</v>
      </c>
      <c r="B4" t="s">
        <v>38</v>
      </c>
      <c r="C4" t="s">
        <v>16</v>
      </c>
    </row>
    <row r="5" spans="1:3" x14ac:dyDescent="0.3">
      <c r="A5" s="8" t="s">
        <v>114</v>
      </c>
      <c r="B5" s="9">
        <v>0.1544058205335489</v>
      </c>
      <c r="C5" s="9">
        <v>0.2750202101859337</v>
      </c>
    </row>
    <row r="6" spans="1:3" x14ac:dyDescent="0.3">
      <c r="A6" s="8" t="s">
        <v>115</v>
      </c>
      <c r="B6" s="9">
        <v>5.9337105901374296E-2</v>
      </c>
      <c r="C6" s="9">
        <v>0.17574777687954729</v>
      </c>
    </row>
    <row r="7" spans="1:3" x14ac:dyDescent="0.3">
      <c r="A7" s="8" t="s">
        <v>117</v>
      </c>
      <c r="B7" s="9">
        <v>0.15052546483427648</v>
      </c>
      <c r="C7" s="9">
        <v>0.18496362166531932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4D218-B2AE-4B72-AA5C-A4D581505242}">
  <dimension ref="A3:B10"/>
  <sheetViews>
    <sheetView workbookViewId="0">
      <selection activeCell="A6" sqref="A4:A10"/>
      <pivotSelection pane="bottomRight" showHeader="1" axis="axisRow" activeRow="5" previousRow="5" click="1" r:id="rId1">
        <pivotArea dataOnly="0" labelOnly="1" fieldPosition="0">
          <references count="1">
            <reference field="9" count="0"/>
          </references>
        </pivotArea>
      </pivotSelection>
    </sheetView>
  </sheetViews>
  <sheetFormatPr defaultRowHeight="14.4" x14ac:dyDescent="0.3"/>
  <cols>
    <col min="1" max="1" width="12.44140625" bestFit="1" customWidth="1"/>
    <col min="2" max="2" width="14" bestFit="1" customWidth="1"/>
  </cols>
  <sheetData>
    <row r="3" spans="1:2" x14ac:dyDescent="0.3">
      <c r="A3" s="5" t="s">
        <v>109</v>
      </c>
      <c r="B3" t="s">
        <v>112</v>
      </c>
    </row>
    <row r="4" spans="1:2" x14ac:dyDescent="0.3">
      <c r="A4" s="8" t="s">
        <v>32</v>
      </c>
      <c r="B4" s="9">
        <v>0.28763136620856911</v>
      </c>
    </row>
    <row r="5" spans="1:2" x14ac:dyDescent="0.3">
      <c r="A5" s="8" t="s">
        <v>39</v>
      </c>
      <c r="B5" s="9">
        <v>0.17235246564268392</v>
      </c>
    </row>
    <row r="6" spans="1:2" x14ac:dyDescent="0.3">
      <c r="A6" s="8" t="s">
        <v>43</v>
      </c>
      <c r="B6" s="9">
        <v>0.23702506063055781</v>
      </c>
    </row>
    <row r="7" spans="1:2" x14ac:dyDescent="0.3">
      <c r="A7" s="8" t="s">
        <v>18</v>
      </c>
      <c r="B7" s="9">
        <v>0.19094583670169765</v>
      </c>
    </row>
    <row r="8" spans="1:2" x14ac:dyDescent="0.3">
      <c r="A8" s="8" t="s">
        <v>64</v>
      </c>
      <c r="B8" s="9">
        <v>5.9013742926434923E-2</v>
      </c>
    </row>
    <row r="9" spans="1:2" x14ac:dyDescent="0.3">
      <c r="A9" s="8" t="s">
        <v>24</v>
      </c>
      <c r="B9" s="9">
        <v>1.6491511721907843E-2</v>
      </c>
    </row>
    <row r="10" spans="1:2" x14ac:dyDescent="0.3">
      <c r="A10" s="8" t="s">
        <v>46</v>
      </c>
      <c r="B10" s="9">
        <v>3.6540016168148746E-2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Vrinda store 2026</vt:lpstr>
      <vt:lpstr>Sheet2</vt:lpstr>
      <vt:lpstr>Sheet1</vt:lpstr>
      <vt:lpstr>Order vs Sales</vt:lpstr>
      <vt:lpstr>Men vs Women</vt:lpstr>
      <vt:lpstr>Order status</vt:lpstr>
      <vt:lpstr>States</vt:lpstr>
      <vt:lpstr>Age n Gender</vt:lpstr>
      <vt:lpstr>Channels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gaurav Sharma</dc:creator>
  <cp:keywords/>
  <dc:description/>
  <cp:lastModifiedBy>gaurav Sharma</cp:lastModifiedBy>
  <cp:revision/>
  <dcterms:created xsi:type="dcterms:W3CDTF">2026-07-08T18:49:43Z</dcterms:created>
  <dcterms:modified xsi:type="dcterms:W3CDTF">2026-09-09T10:05:56Z</dcterms:modified>
  <cp:category/>
  <cp:contentStatus/>
</cp:coreProperties>
</file>